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0" documentId="8_{EF2B45C9-5EE5-466F-A2BF-E0E174C76760}" xr6:coauthVersionLast="47" xr6:coauthVersionMax="47" xr10:uidLastSave="{00000000-0000-0000-0000-000000000000}"/>
  <bookViews>
    <workbookView xWindow="-120" yWindow="-120" windowWidth="29040" windowHeight="1572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6" i="11" l="1"/>
  <c r="F36" i="11" s="1"/>
  <c r="E3" i="11"/>
  <c r="H7" i="11"/>
  <c r="E9" i="11" l="1"/>
  <c r="F9" i="11" l="1"/>
  <c r="E10" i="11" s="1"/>
  <c r="F10" i="11" s="1"/>
  <c r="I5" i="11"/>
  <c r="H39" i="11"/>
  <c r="H38" i="11"/>
  <c r="H30" i="11"/>
  <c r="H22" i="11"/>
  <c r="H16" i="11"/>
  <c r="H8" i="11"/>
  <c r="H9" i="11" l="1"/>
  <c r="E11" i="11"/>
  <c r="F11" i="11" s="1"/>
  <c r="I6" i="11"/>
  <c r="H10" i="11" l="1"/>
  <c r="E12" i="11"/>
  <c r="F12" i="11" s="1"/>
  <c r="E15" i="11" s="1"/>
  <c r="F15" i="11" s="1"/>
  <c r="J5" i="11"/>
  <c r="K5" i="11" s="1"/>
  <c r="L5" i="11" s="1"/>
  <c r="M5" i="11" s="1"/>
  <c r="N5" i="11" s="1"/>
  <c r="O5" i="11" s="1"/>
  <c r="P5" i="11" s="1"/>
  <c r="I4" i="11"/>
  <c r="H15" i="11" l="1"/>
  <c r="E17" i="11"/>
  <c r="F17" i="11" s="1"/>
  <c r="H11" i="11"/>
  <c r="H12" i="11"/>
  <c r="P4" i="11"/>
  <c r="Q5" i="11"/>
  <c r="R5" i="11" s="1"/>
  <c r="S5" i="11" s="1"/>
  <c r="T5" i="11" s="1"/>
  <c r="U5" i="11" s="1"/>
  <c r="V5" i="11" s="1"/>
  <c r="W5" i="11" s="1"/>
  <c r="J6" i="11"/>
  <c r="H17" i="11" l="1"/>
  <c r="E18" i="11"/>
  <c r="W4" i="11"/>
  <c r="X5" i="11"/>
  <c r="Y5" i="11" s="1"/>
  <c r="Z5" i="11" s="1"/>
  <c r="AA5" i="11" s="1"/>
  <c r="AB5" i="11" s="1"/>
  <c r="AC5" i="11" s="1"/>
  <c r="AD5" i="11" s="1"/>
  <c r="K6" i="11"/>
  <c r="F18" i="11" l="1"/>
  <c r="E19" i="11" s="1"/>
  <c r="H18" i="11"/>
  <c r="AE5" i="11"/>
  <c r="AF5" i="11" s="1"/>
  <c r="AG5" i="11" s="1"/>
  <c r="AH5" i="11" s="1"/>
  <c r="AI5" i="11" s="1"/>
  <c r="AJ5" i="11" s="1"/>
  <c r="AD4" i="11"/>
  <c r="L6" i="11"/>
  <c r="E20" i="11" l="1"/>
  <c r="F19" i="11"/>
  <c r="H19" i="11" s="1"/>
  <c r="AK5" i="11"/>
  <c r="AL5" i="11" s="1"/>
  <c r="AM5" i="11" s="1"/>
  <c r="AN5" i="11" s="1"/>
  <c r="AO5" i="11" s="1"/>
  <c r="AP5" i="11" s="1"/>
  <c r="AQ5" i="11" s="1"/>
  <c r="M6" i="11"/>
  <c r="E21" i="11" l="1"/>
  <c r="F21" i="11" s="1"/>
  <c r="F20" i="11"/>
  <c r="H20" i="11" s="1"/>
  <c r="AR5" i="11"/>
  <c r="AS5" i="11" s="1"/>
  <c r="AK4" i="11"/>
  <c r="N6" i="11"/>
  <c r="H21" i="11" l="1"/>
  <c r="E23" i="11"/>
  <c r="F23" i="11" s="1"/>
  <c r="E24" i="11" s="1"/>
  <c r="AT5" i="11"/>
  <c r="AS6" i="11"/>
  <c r="AR4" i="11"/>
  <c r="O6" i="11"/>
  <c r="H23" i="11" l="1"/>
  <c r="F24" i="11"/>
  <c r="E25" i="11" s="1"/>
  <c r="AU5" i="11"/>
  <c r="AT6" i="11"/>
  <c r="H24" i="11" l="1"/>
  <c r="F25" i="11"/>
  <c r="E26" i="11" s="1"/>
  <c r="AV5" i="11"/>
  <c r="AU6" i="11"/>
  <c r="P6" i="11"/>
  <c r="Q6" i="11"/>
  <c r="H25" i="11" l="1"/>
  <c r="E29" i="11"/>
  <c r="AW5" i="11"/>
  <c r="AV6" i="11"/>
  <c r="R6" i="11"/>
  <c r="F29" i="11" l="1"/>
  <c r="F26" i="11"/>
  <c r="H26" i="11" s="1"/>
  <c r="AX5" i="11"/>
  <c r="AY5" i="11" s="1"/>
  <c r="AW6" i="11"/>
  <c r="S6" i="11"/>
  <c r="H29" i="11" l="1"/>
  <c r="E31" i="11"/>
  <c r="AY6" i="11"/>
  <c r="AZ5" i="11"/>
  <c r="AY4" i="11"/>
  <c r="AX6" i="11"/>
  <c r="T6" i="11"/>
  <c r="F31" i="11" l="1"/>
  <c r="BA5" i="11"/>
  <c r="AZ6" i="11"/>
  <c r="U6" i="11"/>
  <c r="H31" i="11" l="1"/>
  <c r="E32" i="11"/>
  <c r="BA6" i="11"/>
  <c r="BB5" i="11"/>
  <c r="V6" i="11"/>
  <c r="F32" i="11" l="1"/>
  <c r="BB6" i="11"/>
  <c r="BC5" i="11"/>
  <c r="W6" i="11"/>
  <c r="H32" i="11" l="1"/>
  <c r="E33" i="11"/>
  <c r="BC6" i="11"/>
  <c r="BD5" i="11"/>
  <c r="X6" i="11"/>
  <c r="F33" i="11" l="1"/>
  <c r="BE5" i="11"/>
  <c r="BD6" i="11"/>
  <c r="Y6" i="11"/>
  <c r="H33" i="11" l="1"/>
  <c r="E34" i="11"/>
  <c r="BE6" i="11"/>
  <c r="BF5" i="11"/>
  <c r="Z6" i="11"/>
  <c r="F34" i="11" l="1"/>
  <c r="BF6" i="11"/>
  <c r="BG5" i="11"/>
  <c r="BF4" i="11"/>
  <c r="AA6" i="11"/>
  <c r="H34" i="11" l="1"/>
  <c r="E35" i="11"/>
  <c r="BG6" i="11"/>
  <c r="BH5" i="11"/>
  <c r="AB6" i="11"/>
  <c r="F35" i="11" l="1"/>
  <c r="H35" i="11" s="1"/>
  <c r="BI5" i="11"/>
  <c r="BH6" i="11"/>
  <c r="AC6" i="11"/>
  <c r="BJ5" i="11" l="1"/>
  <c r="BI6" i="11"/>
  <c r="AD6" i="11"/>
  <c r="BK5" i="11" l="1"/>
  <c r="BJ6" i="11"/>
  <c r="AE6" i="11"/>
  <c r="BL5" i="11" l="1"/>
  <c r="BM5" i="11" s="1"/>
  <c r="BK6" i="11"/>
  <c r="AF6" i="11"/>
  <c r="BM4" i="11" l="1"/>
  <c r="BN5" i="11"/>
  <c r="BM6" i="11"/>
  <c r="BL6" i="11"/>
  <c r="AG6" i="11"/>
  <c r="BO5" i="11" l="1"/>
  <c r="BN6" i="11"/>
  <c r="AH6" i="11"/>
  <c r="BO6" i="11" l="1"/>
  <c r="BP5" i="11"/>
  <c r="AI6" i="11"/>
  <c r="BP6" i="11" l="1"/>
  <c r="BQ5" i="11"/>
  <c r="AJ6" i="11"/>
  <c r="BQ6" i="11" l="1"/>
  <c r="BR5" i="11"/>
  <c r="AK6" i="11"/>
  <c r="BR6" i="11" l="1"/>
  <c r="BS5" i="11"/>
  <c r="AL6" i="11"/>
  <c r="BS6" i="11" l="1"/>
  <c r="BT5" i="11"/>
  <c r="AM6" i="11"/>
  <c r="BT4" i="11" l="1"/>
  <c r="BU5" i="11"/>
  <c r="BT6" i="11"/>
  <c r="AN6" i="11"/>
  <c r="BU6" i="11" l="1"/>
  <c r="BV5" i="11"/>
  <c r="AO6" i="11"/>
  <c r="BW5" i="11" l="1"/>
  <c r="BV6" i="11"/>
  <c r="AP6" i="11"/>
  <c r="BW6" i="11" l="1"/>
  <c r="BX5" i="11"/>
  <c r="AQ6" i="11"/>
  <c r="BX6" i="11" l="1"/>
  <c r="BY5" i="11"/>
  <c r="AR6" i="11"/>
  <c r="BY6" i="11" l="1"/>
  <c r="BZ5" i="11"/>
  <c r="BZ6" i="11" l="1"/>
  <c r="CA5" i="11"/>
  <c r="CA4" i="11" l="1"/>
  <c r="CB5" i="11"/>
  <c r="CA6" i="11"/>
  <c r="CC5" i="11" l="1"/>
  <c r="CB6" i="11"/>
  <c r="CD5" i="11" l="1"/>
  <c r="CC6" i="11"/>
  <c r="CE5" i="11" l="1"/>
  <c r="CD6" i="11"/>
  <c r="CE6" i="11" l="1"/>
  <c r="CF5" i="11"/>
  <c r="CF6" i="11" l="1"/>
  <c r="CG5" i="11"/>
  <c r="CG6" i="11" s="1"/>
</calcChain>
</file>

<file path=xl/sharedStrings.xml><?xml version="1.0" encoding="utf-8"?>
<sst xmlns="http://schemas.openxmlformats.org/spreadsheetml/2006/main" count="77" uniqueCount="73">
  <si>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</si>
  <si>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Company Name in cell B2.</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</si>
  <si>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</si>
  <si>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</si>
  <si>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</si>
  <si>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</si>
  <si>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</si>
  <si>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</si>
  <si>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</si>
  <si>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</si>
  <si>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</si>
  <si>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Sample phase title block</t>
  </si>
  <si>
    <t>This is an empty row</t>
  </si>
  <si>
    <t>This row marks the end of the Project Schedule. DO NOT enter anything in this row. 
Insert new rows ABOVE this one to continue building out your Project Schedule.</t>
  </si>
  <si>
    <t>Project Lead</t>
  </si>
  <si>
    <t>TASK</t>
  </si>
  <si>
    <t>Insert new rows ABOVE this one</t>
  </si>
  <si>
    <t>Project Start:</t>
  </si>
  <si>
    <t>Display Week:</t>
  </si>
  <si>
    <t>ASSIGNED
TO</t>
  </si>
  <si>
    <t>PROGRESS</t>
  </si>
  <si>
    <t>START</t>
  </si>
  <si>
    <t>END</t>
  </si>
  <si>
    <t>DAYS</t>
  </si>
  <si>
    <t>SIMPLE GANTT CHART by Vertex42.com</t>
  </si>
  <si>
    <t>https://www.vertex42.com/ExcelTemplates/simple-gantt-chart.html</t>
  </si>
  <si>
    <t>About This Template</t>
  </si>
  <si>
    <t>This template provides a simple way to create a Gantt chart to help visualise and track your project. Simply enter your tasks and start and end dates - no formulae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</si>
  <si>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</si>
  <si>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</si>
  <si>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</si>
  <si>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colours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</si>
  <si>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</si>
  <si>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</si>
  <si>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</si>
  <si>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</si>
  <si>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</si>
  <si>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amortisation.</t>
  </si>
  <si>
    <t>Businesses will find invoices, time sheets, inventory trackers, financial statements, and project planning templates. Teachers and students will find resources such as class schedules, grade books, and attendance sheets. Organise your family life with meal planners, checklists, and exercise logs. Each template is thoroughly researched, refined, and improved over time through feedback from thousands of users.</t>
  </si>
  <si>
    <t>Submission Deadline</t>
  </si>
  <si>
    <t>Dungeon-Crawler</t>
  </si>
  <si>
    <t>Dungeon Crawlers</t>
  </si>
  <si>
    <t>A</t>
  </si>
  <si>
    <t>Planning</t>
  </si>
  <si>
    <t>Complete Chart</t>
  </si>
  <si>
    <t>Create Flowchart</t>
  </si>
  <si>
    <t>File Structure</t>
  </si>
  <si>
    <t>Delegate Tasks</t>
  </si>
  <si>
    <t>Set Up</t>
  </si>
  <si>
    <t>JSON File</t>
  </si>
  <si>
    <t>Create main.py</t>
  </si>
  <si>
    <t>Divide Tasks</t>
  </si>
  <si>
    <t>Pseudocode</t>
  </si>
  <si>
    <t>Entity Design</t>
  </si>
  <si>
    <t>Create entity class</t>
  </si>
  <si>
    <t>Programming</t>
  </si>
  <si>
    <t>Deisgn of rooms</t>
  </si>
  <si>
    <t>Random room selection</t>
  </si>
  <si>
    <t>Random encounters</t>
  </si>
  <si>
    <t>Inventory</t>
  </si>
  <si>
    <t>Items</t>
  </si>
  <si>
    <t>Treasure/ Loot</t>
  </si>
  <si>
    <t>Implementation</t>
  </si>
  <si>
    <t>Test code</t>
  </si>
  <si>
    <t>Unit test</t>
  </si>
  <si>
    <t>Reflect on new ideas</t>
  </si>
  <si>
    <t>Optimize code</t>
  </si>
  <si>
    <t>Report</t>
  </si>
  <si>
    <t>Create CPA (Critical Path Analysis)</t>
  </si>
  <si>
    <t>Game Over Screen ( Hp systerm)</t>
  </si>
  <si>
    <t>Scoreboard</t>
  </si>
  <si>
    <t>Scoreboard ( Enemy kills) - disucss</t>
  </si>
  <si>
    <t xml:space="preserve">Debugging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</si>
</sst>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quot;* #,##0_-;\-&quot;£&quot;* #,##0_-;_-&quot;£&quot;* &quot;-&quot;_-;_-@_-"/>
    <numFmt numFmtId="44" formatCode="_-&quot;£&quot;* #,##0.00_-;\-&quot;£&quot;* #,##0.00_-;_-&quot;£&quot;* &quot;-&quot;??_-;_-@_-"/>
    <numFmt numFmtId="164" formatCode="_(* #,##0_);_(* \(#,##0\);_(* &quot;-&quot;_);_(@_)"/>
    <numFmt numFmtId="165" formatCode="_(* #,##0.00_);_(* \(#,##0.00\);_(* &quot;-&quot;??_);_(@_)"/>
    <numFmt numFmtId="166" formatCode="ddd\,\ dd/mm/yyyy"/>
    <numFmt numFmtId="167" formatCode="d/m/yy;@"/>
    <numFmt numFmtId="168" formatCode="d"/>
    <numFmt numFmtId="169" formatCode="d\ mmm\ yyyy"/>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7"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7" fontId="0" fillId="8" borderId="2" xfId="0" applyNumberFormat="1" applyFill="1" applyBorder="1" applyAlignment="1">
      <alignment horizontal="center" vertical="center"/>
    </xf>
    <xf numFmtId="167" fontId="5" fillId="8" borderId="2" xfId="0" applyNumberFormat="1" applyFont="1" applyFill="1" applyBorder="1" applyAlignment="1">
      <alignment horizontal="center" vertical="center"/>
    </xf>
    <xf numFmtId="167" fontId="9" fillId="3" borderId="2" xfId="10" applyFill="1">
      <alignment horizontal="center" vertical="center"/>
    </xf>
    <xf numFmtId="167" fontId="0" fillId="9" borderId="2" xfId="0" applyNumberFormat="1" applyFill="1" applyBorder="1" applyAlignment="1">
      <alignment horizontal="center" vertical="center"/>
    </xf>
    <xf numFmtId="167" fontId="5" fillId="9" borderId="2" xfId="0" applyNumberFormat="1" applyFont="1" applyFill="1" applyBorder="1" applyAlignment="1">
      <alignment horizontal="center" vertical="center"/>
    </xf>
    <xf numFmtId="167" fontId="9" fillId="4" borderId="2" xfId="10" applyFill="1">
      <alignment horizontal="center" vertical="center"/>
    </xf>
    <xf numFmtId="167" fontId="0" fillId="6" borderId="2" xfId="0" applyNumberFormat="1" applyFill="1" applyBorder="1" applyAlignment="1">
      <alignment horizontal="center" vertical="center"/>
    </xf>
    <xf numFmtId="167" fontId="5" fillId="6" borderId="2" xfId="0" applyNumberFormat="1" applyFont="1" applyFill="1" applyBorder="1" applyAlignment="1">
      <alignment horizontal="center" vertical="center"/>
    </xf>
    <xf numFmtId="167" fontId="9" fillId="11" borderId="2" xfId="10" applyFill="1">
      <alignment horizontal="center" vertical="center"/>
    </xf>
    <xf numFmtId="167" fontId="0" fillId="5" borderId="2" xfId="0" applyNumberFormat="1" applyFill="1" applyBorder="1" applyAlignment="1">
      <alignment horizontal="center" vertical="center"/>
    </xf>
    <xf numFmtId="167" fontId="5" fillId="5" borderId="2" xfId="0" applyNumberFormat="1" applyFont="1" applyFill="1" applyBorder="1" applyAlignment="1">
      <alignment horizontal="center" vertical="center"/>
    </xf>
    <xf numFmtId="167" fontId="9" fillId="10" borderId="2" xfId="10" applyFill="1">
      <alignment horizontal="center" vertical="center"/>
    </xf>
    <xf numFmtId="167" fontId="9" fillId="0" borderId="2" xfId="10">
      <alignment horizontal="center" vertical="center"/>
    </xf>
    <xf numFmtId="167" fontId="4" fillId="2" borderId="2" xfId="0" applyNumberFormat="1" applyFont="1" applyFill="1" applyBorder="1" applyAlignment="1">
      <alignment horizontal="left" vertical="center"/>
    </xf>
    <xf numFmtId="167" fontId="5" fillId="2" borderId="2" xfId="0" applyNumberFormat="1" applyFont="1" applyFill="1" applyBorder="1" applyAlignment="1">
      <alignment horizontal="center" vertical="center"/>
    </xf>
    <xf numFmtId="168" fontId="11" fillId="7" borderId="6" xfId="0" applyNumberFormat="1" applyFont="1" applyFill="1" applyBorder="1" applyAlignment="1">
      <alignment horizontal="center" vertical="center"/>
    </xf>
    <xf numFmtId="168" fontId="11" fillId="7" borderId="0" xfId="0" applyNumberFormat="1" applyFont="1" applyFill="1" applyAlignment="1">
      <alignment horizontal="center" vertical="center"/>
    </xf>
    <xf numFmtId="168" fontId="11" fillId="7" borderId="7" xfId="0" applyNumberFormat="1" applyFont="1" applyFill="1" applyBorder="1" applyAlignment="1">
      <alignment horizontal="center" vertical="center"/>
    </xf>
    <xf numFmtId="0" fontId="10" fillId="0" borderId="0" xfId="7" applyAlignment="1">
      <alignment vertical="top" wrapText="1"/>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0" fontId="9" fillId="0" borderId="0" xfId="8">
      <alignment horizontal="right" indent="1"/>
    </xf>
    <xf numFmtId="0" fontId="9" fillId="0" borderId="7" xfId="8" applyBorder="1">
      <alignment horizontal="right" indent="1"/>
    </xf>
    <xf numFmtId="166" fontId="9" fillId="0" borderId="3" xfId="9">
      <alignment horizontal="center" vertic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e"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cent" xfId="2" builtinId="5" customBuiltin="1"/>
    <cellStyle name="Project Start" xfId="9" xr:uid="{8EB8A09A-C31C-40A3-B2C1-9449520178B8}"/>
    <cellStyle name="Task" xfId="12" xr:uid="{6391D789-272B-4DD2-9BF3-2CDCF610FA41}"/>
    <cellStyle name="Title" xfId="5" builtinId="15" customBuiltin="1"/>
    <cellStyle name="Total" xfId="29" builtinId="25" customBuiltin="1"/>
    <cellStyle name="Warning Text" xfId="26" builtinId="11"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G42"/>
  <sheetViews>
    <sheetView showGridLines="0" tabSelected="1" showRuler="0" zoomScaleNormal="100" zoomScalePageLayoutView="70" workbookViewId="0">
      <pane ySplit="6" topLeftCell="A11" activePane="bottomLeft" state="frozen"/>
      <selection pane="bottomLeft" activeCell="B15" sqref="B15"/>
    </sheetView>
  </sheetViews>
  <sheetFormatPr defaultRowHeight="30" customHeight="1" x14ac:dyDescent="0.25"/>
  <cols>
    <col min="1" max="1" width="2.7109375" style="45" customWidth="1"/>
    <col min="2" max="2" width="19.85546875" customWidth="1"/>
    <col min="3" max="3" width="30.7109375" customWidth="1"/>
    <col min="4" max="4" width="10.7109375" customWidth="1"/>
    <col min="5" max="5" width="10.42578125" style="5" customWidth="1"/>
    <col min="6" max="6" width="10.42578125" customWidth="1"/>
    <col min="7" max="7" width="2.7109375" customWidth="1"/>
    <col min="8" max="8" width="6.140625" hidden="1" customWidth="1"/>
    <col min="9" max="85" width="2.5703125" customWidth="1"/>
  </cols>
  <sheetData>
    <row r="1" spans="1:85" ht="30" customHeight="1" x14ac:dyDescent="0.45">
      <c r="A1" s="46" t="s">
        <v>0</v>
      </c>
      <c r="B1" s="49" t="s">
        <v>40</v>
      </c>
      <c r="C1" s="1"/>
      <c r="D1" s="2"/>
      <c r="E1" s="4"/>
      <c r="F1" s="34"/>
      <c r="H1" s="2"/>
      <c r="I1" s="66" t="s">
        <v>24</v>
      </c>
    </row>
    <row r="2" spans="1:85" ht="30" customHeight="1" x14ac:dyDescent="0.3">
      <c r="A2" s="45" t="s">
        <v>1</v>
      </c>
      <c r="B2" s="50" t="s">
        <v>41</v>
      </c>
      <c r="I2" s="67" t="s">
        <v>25</v>
      </c>
    </row>
    <row r="3" spans="1:85" ht="30" customHeight="1" x14ac:dyDescent="0.25">
      <c r="A3" s="45" t="s">
        <v>2</v>
      </c>
      <c r="B3" s="87" t="s">
        <v>14</v>
      </c>
      <c r="C3" s="91" t="s">
        <v>17</v>
      </c>
      <c r="D3" s="92"/>
      <c r="E3" s="93">
        <f>DATE(2025,11,3)</f>
        <v>45964</v>
      </c>
      <c r="F3" s="93"/>
    </row>
    <row r="4" spans="1:85" ht="30" customHeight="1" x14ac:dyDescent="0.25">
      <c r="A4" s="46" t="s">
        <v>3</v>
      </c>
      <c r="C4" s="91" t="s">
        <v>18</v>
      </c>
      <c r="D4" s="92"/>
      <c r="E4" s="7">
        <v>0</v>
      </c>
      <c r="I4" s="88">
        <f>I5</f>
        <v>45957</v>
      </c>
      <c r="J4" s="89"/>
      <c r="K4" s="89"/>
      <c r="L4" s="89"/>
      <c r="M4" s="89"/>
      <c r="N4" s="89"/>
      <c r="O4" s="90"/>
      <c r="P4" s="88">
        <f>P5</f>
        <v>45964</v>
      </c>
      <c r="Q4" s="89"/>
      <c r="R4" s="89"/>
      <c r="S4" s="89"/>
      <c r="T4" s="89"/>
      <c r="U4" s="89"/>
      <c r="V4" s="90"/>
      <c r="W4" s="88">
        <f>W5</f>
        <v>45971</v>
      </c>
      <c r="X4" s="89"/>
      <c r="Y4" s="89"/>
      <c r="Z4" s="89"/>
      <c r="AA4" s="89"/>
      <c r="AB4" s="89"/>
      <c r="AC4" s="90"/>
      <c r="AD4" s="88">
        <f>AD5</f>
        <v>45978</v>
      </c>
      <c r="AE4" s="89"/>
      <c r="AF4" s="89"/>
      <c r="AG4" s="89"/>
      <c r="AH4" s="89"/>
      <c r="AI4" s="89"/>
      <c r="AJ4" s="90"/>
      <c r="AK4" s="88">
        <f>AK5</f>
        <v>45985</v>
      </c>
      <c r="AL4" s="89"/>
      <c r="AM4" s="89"/>
      <c r="AN4" s="89"/>
      <c r="AO4" s="89"/>
      <c r="AP4" s="89"/>
      <c r="AQ4" s="90"/>
      <c r="AR4" s="88">
        <f>AR5</f>
        <v>45992</v>
      </c>
      <c r="AS4" s="89"/>
      <c r="AT4" s="89"/>
      <c r="AU4" s="89"/>
      <c r="AV4" s="89"/>
      <c r="AW4" s="89"/>
      <c r="AX4" s="90"/>
      <c r="AY4" s="88">
        <f>AY5</f>
        <v>45999</v>
      </c>
      <c r="AZ4" s="89"/>
      <c r="BA4" s="89"/>
      <c r="BB4" s="89"/>
      <c r="BC4" s="89"/>
      <c r="BD4" s="89"/>
      <c r="BE4" s="90"/>
      <c r="BF4" s="88">
        <f>BF5</f>
        <v>46006</v>
      </c>
      <c r="BG4" s="89"/>
      <c r="BH4" s="89"/>
      <c r="BI4" s="89"/>
      <c r="BJ4" s="89"/>
      <c r="BK4" s="89"/>
      <c r="BL4" s="90"/>
      <c r="BM4" s="88">
        <f>BM5</f>
        <v>46013</v>
      </c>
      <c r="BN4" s="89"/>
      <c r="BO4" s="89"/>
      <c r="BP4" s="89"/>
      <c r="BQ4" s="89"/>
      <c r="BR4" s="89"/>
      <c r="BS4" s="90"/>
      <c r="BT4" s="88">
        <f>BT5</f>
        <v>46020</v>
      </c>
      <c r="BU4" s="89"/>
      <c r="BV4" s="89"/>
      <c r="BW4" s="89"/>
      <c r="BX4" s="89"/>
      <c r="BY4" s="89"/>
      <c r="BZ4" s="90"/>
      <c r="CA4" s="88">
        <f>CA5</f>
        <v>46027</v>
      </c>
      <c r="CB4" s="89"/>
      <c r="CC4" s="89"/>
      <c r="CD4" s="89"/>
      <c r="CE4" s="89"/>
      <c r="CF4" s="89"/>
      <c r="CG4" s="90"/>
    </row>
    <row r="5" spans="1:85" ht="15" customHeight="1" x14ac:dyDescent="0.25">
      <c r="A5" s="46" t="s">
        <v>4</v>
      </c>
      <c r="B5" s="65"/>
      <c r="C5" s="65"/>
      <c r="D5" s="65"/>
      <c r="E5" s="65"/>
      <c r="F5" s="65"/>
      <c r="G5" s="65"/>
      <c r="I5" s="84">
        <f>Project_Start-WEEKDAY(Project_Start,1)+2+7*(Display_Week-1)</f>
        <v>45957</v>
      </c>
      <c r="J5" s="85">
        <f>I5+1</f>
        <v>45958</v>
      </c>
      <c r="K5" s="85">
        <f t="shared" ref="K5:AX5" si="0">J5+1</f>
        <v>45959</v>
      </c>
      <c r="L5" s="85">
        <f t="shared" si="0"/>
        <v>45960</v>
      </c>
      <c r="M5" s="85">
        <f t="shared" si="0"/>
        <v>45961</v>
      </c>
      <c r="N5" s="85">
        <f t="shared" si="0"/>
        <v>45962</v>
      </c>
      <c r="O5" s="86">
        <f t="shared" si="0"/>
        <v>45963</v>
      </c>
      <c r="P5" s="84">
        <f>O5+1</f>
        <v>45964</v>
      </c>
      <c r="Q5" s="85">
        <f>P5+1</f>
        <v>45965</v>
      </c>
      <c r="R5" s="85">
        <f t="shared" si="0"/>
        <v>45966</v>
      </c>
      <c r="S5" s="85">
        <f t="shared" si="0"/>
        <v>45967</v>
      </c>
      <c r="T5" s="85">
        <f t="shared" si="0"/>
        <v>45968</v>
      </c>
      <c r="U5" s="85">
        <f t="shared" si="0"/>
        <v>45969</v>
      </c>
      <c r="V5" s="86">
        <f t="shared" si="0"/>
        <v>45970</v>
      </c>
      <c r="W5" s="84">
        <f>V5+1</f>
        <v>45971</v>
      </c>
      <c r="X5" s="85">
        <f>W5+1</f>
        <v>45972</v>
      </c>
      <c r="Y5" s="85">
        <f t="shared" si="0"/>
        <v>45973</v>
      </c>
      <c r="Z5" s="85">
        <f t="shared" si="0"/>
        <v>45974</v>
      </c>
      <c r="AA5" s="85">
        <f t="shared" si="0"/>
        <v>45975</v>
      </c>
      <c r="AB5" s="85">
        <f t="shared" si="0"/>
        <v>45976</v>
      </c>
      <c r="AC5" s="86">
        <f t="shared" si="0"/>
        <v>45977</v>
      </c>
      <c r="AD5" s="84">
        <f>AC5+1</f>
        <v>45978</v>
      </c>
      <c r="AE5" s="85">
        <f>AD5+1</f>
        <v>45979</v>
      </c>
      <c r="AF5" s="85">
        <f t="shared" si="0"/>
        <v>45980</v>
      </c>
      <c r="AG5" s="85">
        <f t="shared" si="0"/>
        <v>45981</v>
      </c>
      <c r="AH5" s="85">
        <f t="shared" si="0"/>
        <v>45982</v>
      </c>
      <c r="AI5" s="85">
        <f t="shared" si="0"/>
        <v>45983</v>
      </c>
      <c r="AJ5" s="86">
        <f t="shared" si="0"/>
        <v>45984</v>
      </c>
      <c r="AK5" s="84">
        <f>AJ5+1</f>
        <v>45985</v>
      </c>
      <c r="AL5" s="85">
        <f>AK5+1</f>
        <v>45986</v>
      </c>
      <c r="AM5" s="85">
        <f t="shared" si="0"/>
        <v>45987</v>
      </c>
      <c r="AN5" s="85">
        <f t="shared" si="0"/>
        <v>45988</v>
      </c>
      <c r="AO5" s="85">
        <f t="shared" si="0"/>
        <v>45989</v>
      </c>
      <c r="AP5" s="85">
        <f t="shared" si="0"/>
        <v>45990</v>
      </c>
      <c r="AQ5" s="86">
        <f t="shared" si="0"/>
        <v>45991</v>
      </c>
      <c r="AR5" s="84">
        <f>AQ5+1</f>
        <v>45992</v>
      </c>
      <c r="AS5" s="85">
        <f>AR5+1</f>
        <v>45993</v>
      </c>
      <c r="AT5" s="85">
        <f t="shared" si="0"/>
        <v>45994</v>
      </c>
      <c r="AU5" s="85">
        <f t="shared" si="0"/>
        <v>45995</v>
      </c>
      <c r="AV5" s="85">
        <f t="shared" si="0"/>
        <v>45996</v>
      </c>
      <c r="AW5" s="85">
        <f t="shared" si="0"/>
        <v>45997</v>
      </c>
      <c r="AX5" s="86">
        <f t="shared" si="0"/>
        <v>45998</v>
      </c>
      <c r="AY5" s="84">
        <f>AX5+1</f>
        <v>45999</v>
      </c>
      <c r="AZ5" s="85">
        <f>AY5+1</f>
        <v>46000</v>
      </c>
      <c r="BA5" s="85">
        <f t="shared" ref="BA5:BE5" si="1">AZ5+1</f>
        <v>46001</v>
      </c>
      <c r="BB5" s="85">
        <f t="shared" si="1"/>
        <v>46002</v>
      </c>
      <c r="BC5" s="85">
        <f t="shared" si="1"/>
        <v>46003</v>
      </c>
      <c r="BD5" s="85">
        <f t="shared" si="1"/>
        <v>46004</v>
      </c>
      <c r="BE5" s="86">
        <f t="shared" si="1"/>
        <v>46005</v>
      </c>
      <c r="BF5" s="84">
        <f>BE5+1</f>
        <v>46006</v>
      </c>
      <c r="BG5" s="85">
        <f>BF5+1</f>
        <v>46007</v>
      </c>
      <c r="BH5" s="85">
        <f t="shared" ref="BH5:BL5" si="2">BG5+1</f>
        <v>46008</v>
      </c>
      <c r="BI5" s="85">
        <f t="shared" si="2"/>
        <v>46009</v>
      </c>
      <c r="BJ5" s="85">
        <f t="shared" si="2"/>
        <v>46010</v>
      </c>
      <c r="BK5" s="85">
        <f t="shared" si="2"/>
        <v>46011</v>
      </c>
      <c r="BL5" s="86">
        <f t="shared" si="2"/>
        <v>46012</v>
      </c>
      <c r="BM5" s="84">
        <f>BL5+1</f>
        <v>46013</v>
      </c>
      <c r="BN5" s="85">
        <f>BM5+1</f>
        <v>46014</v>
      </c>
      <c r="BO5" s="85">
        <f t="shared" ref="BO5" si="3">BN5+1</f>
        <v>46015</v>
      </c>
      <c r="BP5" s="85">
        <f t="shared" ref="BP5" si="4">BO5+1</f>
        <v>46016</v>
      </c>
      <c r="BQ5" s="85">
        <f t="shared" ref="BQ5" si="5">BP5+1</f>
        <v>46017</v>
      </c>
      <c r="BR5" s="85">
        <f t="shared" ref="BR5" si="6">BQ5+1</f>
        <v>46018</v>
      </c>
      <c r="BS5" s="86">
        <f t="shared" ref="BS5" si="7">BR5+1</f>
        <v>46019</v>
      </c>
      <c r="BT5" s="84">
        <f>BS5+1</f>
        <v>46020</v>
      </c>
      <c r="BU5" s="85">
        <f>BT5+1</f>
        <v>46021</v>
      </c>
      <c r="BV5" s="85">
        <f t="shared" ref="BV5" si="8">BU5+1</f>
        <v>46022</v>
      </c>
      <c r="BW5" s="85">
        <f t="shared" ref="BW5" si="9">BV5+1</f>
        <v>46023</v>
      </c>
      <c r="BX5" s="85">
        <f t="shared" ref="BX5" si="10">BW5+1</f>
        <v>46024</v>
      </c>
      <c r="BY5" s="85">
        <f t="shared" ref="BY5" si="11">BX5+1</f>
        <v>46025</v>
      </c>
      <c r="BZ5" s="86">
        <f t="shared" ref="BZ5" si="12">BY5+1</f>
        <v>46026</v>
      </c>
      <c r="CA5" s="84">
        <f>BZ5+1</f>
        <v>46027</v>
      </c>
      <c r="CB5" s="85">
        <f>CA5+1</f>
        <v>46028</v>
      </c>
      <c r="CC5" s="85">
        <f t="shared" ref="CC5" si="13">CB5+1</f>
        <v>46029</v>
      </c>
      <c r="CD5" s="85">
        <f t="shared" ref="CD5" si="14">CC5+1</f>
        <v>46030</v>
      </c>
      <c r="CE5" s="85">
        <f t="shared" ref="CE5" si="15">CD5+1</f>
        <v>46031</v>
      </c>
      <c r="CF5" s="85">
        <f t="shared" ref="CF5" si="16">CE5+1</f>
        <v>46032</v>
      </c>
      <c r="CG5" s="86">
        <f t="shared" ref="CG5" si="17">CF5+1</f>
        <v>46033</v>
      </c>
    </row>
    <row r="6" spans="1:85" ht="30" customHeight="1" thickBot="1" x14ac:dyDescent="0.3">
      <c r="A6" s="46" t="s">
        <v>5</v>
      </c>
      <c r="B6" s="8" t="s">
        <v>15</v>
      </c>
      <c r="C6" s="9" t="s">
        <v>19</v>
      </c>
      <c r="D6" s="9" t="s">
        <v>20</v>
      </c>
      <c r="E6" s="9" t="s">
        <v>21</v>
      </c>
      <c r="F6" s="9" t="s">
        <v>22</v>
      </c>
      <c r="G6" s="9"/>
      <c r="H6" s="9" t="s">
        <v>23</v>
      </c>
      <c r="I6" s="10" t="str">
        <f t="shared" ref="I6" si="18">LEFT(TEXT(I5,"ddd"),1)</f>
        <v>M</v>
      </c>
      <c r="J6" s="10" t="str">
        <f t="shared" ref="J6:AR6" si="19">LEFT(TEXT(J5,"ddd"),1)</f>
        <v>T</v>
      </c>
      <c r="K6" s="10" t="str">
        <f t="shared" si="19"/>
        <v>W</v>
      </c>
      <c r="L6" s="10" t="str">
        <f t="shared" si="19"/>
        <v>T</v>
      </c>
      <c r="M6" s="10" t="str">
        <f t="shared" si="19"/>
        <v>F</v>
      </c>
      <c r="N6" s="10" t="str">
        <f t="shared" si="19"/>
        <v>S</v>
      </c>
      <c r="O6" s="10" t="str">
        <f t="shared" si="19"/>
        <v>S</v>
      </c>
      <c r="P6" s="10" t="str">
        <f t="shared" si="19"/>
        <v>M</v>
      </c>
      <c r="Q6" s="10" t="str">
        <f t="shared" si="19"/>
        <v>T</v>
      </c>
      <c r="R6" s="10" t="str">
        <f t="shared" si="19"/>
        <v>W</v>
      </c>
      <c r="S6" s="10" t="str">
        <f t="shared" si="19"/>
        <v>T</v>
      </c>
      <c r="T6" s="10" t="str">
        <f t="shared" si="19"/>
        <v>F</v>
      </c>
      <c r="U6" s="10" t="str">
        <f t="shared" si="19"/>
        <v>S</v>
      </c>
      <c r="V6" s="10" t="str">
        <f t="shared" si="19"/>
        <v>S</v>
      </c>
      <c r="W6" s="10" t="str">
        <f t="shared" si="19"/>
        <v>M</v>
      </c>
      <c r="X6" s="10" t="str">
        <f t="shared" si="19"/>
        <v>T</v>
      </c>
      <c r="Y6" s="10" t="str">
        <f t="shared" si="19"/>
        <v>W</v>
      </c>
      <c r="Z6" s="10" t="str">
        <f t="shared" si="19"/>
        <v>T</v>
      </c>
      <c r="AA6" s="10" t="str">
        <f t="shared" si="19"/>
        <v>F</v>
      </c>
      <c r="AB6" s="10" t="str">
        <f t="shared" si="19"/>
        <v>S</v>
      </c>
      <c r="AC6" s="10" t="str">
        <f t="shared" si="19"/>
        <v>S</v>
      </c>
      <c r="AD6" s="10" t="str">
        <f t="shared" si="19"/>
        <v>M</v>
      </c>
      <c r="AE6" s="10" t="str">
        <f t="shared" si="19"/>
        <v>T</v>
      </c>
      <c r="AF6" s="10" t="str">
        <f t="shared" si="19"/>
        <v>W</v>
      </c>
      <c r="AG6" s="10" t="str">
        <f t="shared" si="19"/>
        <v>T</v>
      </c>
      <c r="AH6" s="10" t="str">
        <f t="shared" si="19"/>
        <v>F</v>
      </c>
      <c r="AI6" s="10" t="str">
        <f t="shared" si="19"/>
        <v>S</v>
      </c>
      <c r="AJ6" s="10" t="str">
        <f t="shared" si="19"/>
        <v>S</v>
      </c>
      <c r="AK6" s="10" t="str">
        <f t="shared" si="19"/>
        <v>M</v>
      </c>
      <c r="AL6" s="10" t="str">
        <f t="shared" si="19"/>
        <v>T</v>
      </c>
      <c r="AM6" s="10" t="str">
        <f t="shared" si="19"/>
        <v>W</v>
      </c>
      <c r="AN6" s="10" t="str">
        <f t="shared" si="19"/>
        <v>T</v>
      </c>
      <c r="AO6" s="10" t="str">
        <f t="shared" si="19"/>
        <v>F</v>
      </c>
      <c r="AP6" s="10" t="str">
        <f t="shared" si="19"/>
        <v>S</v>
      </c>
      <c r="AQ6" s="10" t="str">
        <f t="shared" si="19"/>
        <v>S</v>
      </c>
      <c r="AR6" s="10" t="str">
        <f t="shared" si="19"/>
        <v>M</v>
      </c>
      <c r="AS6" s="10" t="str">
        <f t="shared" ref="AS6:BL6" si="20">LEFT(TEXT(AS5,"ddd"),1)</f>
        <v>T</v>
      </c>
      <c r="AT6" s="10" t="str">
        <f t="shared" si="20"/>
        <v>W</v>
      </c>
      <c r="AU6" s="10" t="str">
        <f t="shared" si="20"/>
        <v>T</v>
      </c>
      <c r="AV6" s="10" t="str">
        <f t="shared" si="20"/>
        <v>F</v>
      </c>
      <c r="AW6" s="10" t="str">
        <f t="shared" si="20"/>
        <v>S</v>
      </c>
      <c r="AX6" s="10" t="str">
        <f t="shared" si="20"/>
        <v>S</v>
      </c>
      <c r="AY6" s="10" t="str">
        <f t="shared" si="20"/>
        <v>M</v>
      </c>
      <c r="AZ6" s="10" t="str">
        <f t="shared" si="20"/>
        <v>T</v>
      </c>
      <c r="BA6" s="10" t="str">
        <f t="shared" si="20"/>
        <v>W</v>
      </c>
      <c r="BB6" s="10" t="str">
        <f t="shared" si="20"/>
        <v>T</v>
      </c>
      <c r="BC6" s="10" t="str">
        <f t="shared" si="20"/>
        <v>F</v>
      </c>
      <c r="BD6" s="10" t="str">
        <f t="shared" si="20"/>
        <v>S</v>
      </c>
      <c r="BE6" s="10" t="str">
        <f t="shared" si="20"/>
        <v>S</v>
      </c>
      <c r="BF6" s="10" t="str">
        <f t="shared" si="20"/>
        <v>M</v>
      </c>
      <c r="BG6" s="10" t="str">
        <f t="shared" si="20"/>
        <v>T</v>
      </c>
      <c r="BH6" s="10" t="str">
        <f t="shared" si="20"/>
        <v>W</v>
      </c>
      <c r="BI6" s="10" t="str">
        <f t="shared" si="20"/>
        <v>T</v>
      </c>
      <c r="BJ6" s="10" t="str">
        <f t="shared" si="20"/>
        <v>F</v>
      </c>
      <c r="BK6" s="10" t="str">
        <f t="shared" si="20"/>
        <v>S</v>
      </c>
      <c r="BL6" s="10" t="str">
        <f t="shared" si="20"/>
        <v>S</v>
      </c>
      <c r="BM6" s="10" t="str">
        <f t="shared" ref="BM6:BS6" si="21">LEFT(TEXT(BM5,"ddd"),1)</f>
        <v>M</v>
      </c>
      <c r="BN6" s="10" t="str">
        <f t="shared" si="21"/>
        <v>T</v>
      </c>
      <c r="BO6" s="10" t="str">
        <f t="shared" si="21"/>
        <v>W</v>
      </c>
      <c r="BP6" s="10" t="str">
        <f t="shared" si="21"/>
        <v>T</v>
      </c>
      <c r="BQ6" s="10" t="str">
        <f t="shared" si="21"/>
        <v>F</v>
      </c>
      <c r="BR6" s="10" t="str">
        <f t="shared" si="21"/>
        <v>S</v>
      </c>
      <c r="BS6" s="10" t="str">
        <f t="shared" si="21"/>
        <v>S</v>
      </c>
      <c r="BT6" s="10" t="str">
        <f t="shared" ref="BT6:BZ6" si="22">LEFT(TEXT(BT5,"ddd"),1)</f>
        <v>M</v>
      </c>
      <c r="BU6" s="10" t="str">
        <f t="shared" si="22"/>
        <v>T</v>
      </c>
      <c r="BV6" s="10" t="str">
        <f t="shared" si="22"/>
        <v>W</v>
      </c>
      <c r="BW6" s="10" t="str">
        <f t="shared" si="22"/>
        <v>T</v>
      </c>
      <c r="BX6" s="10" t="str">
        <f t="shared" si="22"/>
        <v>F</v>
      </c>
      <c r="BY6" s="10" t="str">
        <f t="shared" si="22"/>
        <v>S</v>
      </c>
      <c r="BZ6" s="10" t="str">
        <f t="shared" si="22"/>
        <v>S</v>
      </c>
      <c r="CA6" s="10" t="str">
        <f t="shared" ref="CA6:CG6" si="23">LEFT(TEXT(CA5,"ddd"),1)</f>
        <v>M</v>
      </c>
      <c r="CB6" s="10" t="str">
        <f t="shared" si="23"/>
        <v>T</v>
      </c>
      <c r="CC6" s="10" t="str">
        <f t="shared" si="23"/>
        <v>W</v>
      </c>
      <c r="CD6" s="10" t="str">
        <f t="shared" si="23"/>
        <v>T</v>
      </c>
      <c r="CE6" s="10" t="str">
        <f t="shared" si="23"/>
        <v>F</v>
      </c>
      <c r="CF6" s="10" t="str">
        <f t="shared" si="23"/>
        <v>S</v>
      </c>
      <c r="CG6" s="10" t="str">
        <f t="shared" si="23"/>
        <v>S</v>
      </c>
    </row>
    <row r="7" spans="1:85" ht="30" hidden="1" customHeight="1" thickBot="1" x14ac:dyDescent="0.3">
      <c r="A7" s="45" t="s">
        <v>6</v>
      </c>
      <c r="C7" s="48"/>
      <c r="E7"/>
      <c r="H7"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85" s="3" customFormat="1" ht="30" customHeight="1" thickBot="1" x14ac:dyDescent="0.3">
      <c r="A8" s="46" t="s">
        <v>7</v>
      </c>
      <c r="B8" s="15" t="s">
        <v>43</v>
      </c>
      <c r="C8" s="51"/>
      <c r="D8" s="16"/>
      <c r="E8" s="69"/>
      <c r="F8" s="70"/>
      <c r="G8" s="14"/>
      <c r="H8" s="14" t="str">
        <f t="shared" ref="H8:H39" si="24">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row>
    <row r="9" spans="1:85" s="3" customFormat="1" ht="30" customHeight="1" thickBot="1" x14ac:dyDescent="0.3">
      <c r="A9" s="46" t="s">
        <v>8</v>
      </c>
      <c r="B9" s="60" t="s">
        <v>44</v>
      </c>
      <c r="C9" s="52" t="s">
        <v>42</v>
      </c>
      <c r="D9" s="17">
        <v>0</v>
      </c>
      <c r="E9" s="71">
        <f>Project_Start</f>
        <v>45964</v>
      </c>
      <c r="F9" s="71">
        <f>E9</f>
        <v>45964</v>
      </c>
      <c r="G9" s="14"/>
      <c r="H9" s="14">
        <f t="shared" si="24"/>
        <v>1</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row>
    <row r="10" spans="1:85" s="3" customFormat="1" ht="30" customHeight="1" thickBot="1" x14ac:dyDescent="0.3">
      <c r="A10" s="46" t="s">
        <v>9</v>
      </c>
      <c r="B10" s="60" t="s">
        <v>68</v>
      </c>
      <c r="C10" s="52"/>
      <c r="D10" s="17">
        <v>0</v>
      </c>
      <c r="E10" s="71">
        <f>F9</f>
        <v>45964</v>
      </c>
      <c r="F10" s="71">
        <f>E10</f>
        <v>45964</v>
      </c>
      <c r="G10" s="14"/>
      <c r="H10" s="14">
        <f t="shared" si="24"/>
        <v>1</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row>
    <row r="11" spans="1:85" s="3" customFormat="1" ht="30" customHeight="1" thickBot="1" x14ac:dyDescent="0.3">
      <c r="A11" s="45"/>
      <c r="B11" s="60" t="s">
        <v>45</v>
      </c>
      <c r="C11" s="52"/>
      <c r="D11" s="17">
        <v>0</v>
      </c>
      <c r="E11" s="71">
        <f>F10</f>
        <v>45964</v>
      </c>
      <c r="F11" s="71">
        <f>E11</f>
        <v>45964</v>
      </c>
      <c r="G11" s="14"/>
      <c r="H11" s="14">
        <f t="shared" si="24"/>
        <v>1</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row>
    <row r="12" spans="1:85" s="3" customFormat="1" ht="30" customHeight="1" thickBot="1" x14ac:dyDescent="0.3">
      <c r="A12" s="45"/>
      <c r="B12" s="60" t="s">
        <v>46</v>
      </c>
      <c r="C12" s="52"/>
      <c r="D12" s="17">
        <v>0</v>
      </c>
      <c r="E12" s="71">
        <f>F11</f>
        <v>45964</v>
      </c>
      <c r="F12" s="71">
        <f>E12</f>
        <v>45964</v>
      </c>
      <c r="G12" s="14"/>
      <c r="H12" s="14">
        <f t="shared" si="24"/>
        <v>1</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row>
    <row r="13" spans="1:85" s="3" customFormat="1" ht="30" customHeight="1" thickBot="1" x14ac:dyDescent="0.3">
      <c r="A13" s="45"/>
      <c r="B13" s="60" t="s">
        <v>52</v>
      </c>
      <c r="C13" s="52"/>
      <c r="D13" s="17"/>
      <c r="E13" s="71"/>
      <c r="F13" s="71"/>
      <c r="G13" s="14"/>
      <c r="H13" s="14"/>
      <c r="I13" s="31"/>
      <c r="J13" s="31"/>
      <c r="K13" s="31"/>
      <c r="L13" s="31"/>
      <c r="M13" s="31"/>
      <c r="N13" s="31"/>
      <c r="O13" s="31"/>
      <c r="P13" s="31"/>
      <c r="Q13" s="31"/>
      <c r="R13" s="31"/>
      <c r="S13" s="31"/>
      <c r="T13" s="31"/>
      <c r="U13" s="31"/>
      <c r="V13" s="31"/>
      <c r="W13" s="31"/>
      <c r="X13" s="31"/>
      <c r="Y13" s="32"/>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row>
    <row r="14" spans="1:85" s="3" customFormat="1" ht="30" customHeight="1" thickBot="1" x14ac:dyDescent="0.3">
      <c r="A14" s="45" t="s">
        <v>53</v>
      </c>
      <c r="B14" s="60" t="s">
        <v>53</v>
      </c>
      <c r="C14" s="52"/>
      <c r="D14" s="17"/>
      <c r="E14" s="71"/>
      <c r="F14" s="71"/>
      <c r="G14" s="14"/>
      <c r="H14" s="14"/>
      <c r="I14" s="31"/>
      <c r="J14" s="31"/>
      <c r="K14" s="31"/>
      <c r="L14" s="31"/>
      <c r="M14" s="31"/>
      <c r="N14" s="31"/>
      <c r="O14" s="31"/>
      <c r="P14" s="31"/>
      <c r="Q14" s="31"/>
      <c r="R14" s="31"/>
      <c r="S14" s="31"/>
      <c r="T14" s="31"/>
      <c r="U14" s="31"/>
      <c r="V14" s="31"/>
      <c r="W14" s="31"/>
      <c r="X14" s="31"/>
      <c r="Y14" s="32"/>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row>
    <row r="15" spans="1:85" s="3" customFormat="1" ht="30" customHeight="1" thickBot="1" x14ac:dyDescent="0.3">
      <c r="A15" s="45"/>
      <c r="B15" s="60" t="s">
        <v>47</v>
      </c>
      <c r="C15" s="52"/>
      <c r="D15" s="17">
        <v>0</v>
      </c>
      <c r="E15" s="71">
        <f>F12</f>
        <v>45964</v>
      </c>
      <c r="F15" s="71">
        <f>E15</f>
        <v>45964</v>
      </c>
      <c r="G15" s="14"/>
      <c r="H15" s="14">
        <f t="shared" si="24"/>
        <v>1</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row>
    <row r="16" spans="1:85" s="3" customFormat="1" ht="30" customHeight="1" thickBot="1" x14ac:dyDescent="0.3">
      <c r="A16" s="46" t="s">
        <v>10</v>
      </c>
      <c r="B16" s="18" t="s">
        <v>48</v>
      </c>
      <c r="C16" s="53"/>
      <c r="D16" s="19"/>
      <c r="E16" s="72"/>
      <c r="F16" s="73"/>
      <c r="G16" s="14"/>
      <c r="H16" s="14" t="str">
        <f t="shared" si="24"/>
        <v/>
      </c>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row>
    <row r="17" spans="1:85" s="3" customFormat="1" ht="30" customHeight="1" thickBot="1" x14ac:dyDescent="0.3">
      <c r="A17" s="46"/>
      <c r="B17" s="61" t="s">
        <v>51</v>
      </c>
      <c r="C17" s="54"/>
      <c r="D17" s="20">
        <v>0</v>
      </c>
      <c r="E17" s="74">
        <f>E15+1</f>
        <v>45965</v>
      </c>
      <c r="F17" s="74">
        <f>E17</f>
        <v>45965</v>
      </c>
      <c r="G17" s="14"/>
      <c r="H17" s="14">
        <f t="shared" si="24"/>
        <v>1</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row>
    <row r="18" spans="1:85" s="3" customFormat="1" ht="30" customHeight="1" thickBot="1" x14ac:dyDescent="0.3">
      <c r="A18" s="45"/>
      <c r="B18" s="61" t="s">
        <v>50</v>
      </c>
      <c r="C18" s="54"/>
      <c r="D18" s="20">
        <v>0</v>
      </c>
      <c r="E18" s="74">
        <f>F17</f>
        <v>45965</v>
      </c>
      <c r="F18" s="74">
        <f>E18</f>
        <v>45965</v>
      </c>
      <c r="G18" s="14"/>
      <c r="H18" s="14">
        <f t="shared" si="24"/>
        <v>1</v>
      </c>
      <c r="I18" s="31"/>
      <c r="J18" s="31"/>
      <c r="K18" s="31"/>
      <c r="L18" s="31"/>
      <c r="M18" s="31"/>
      <c r="N18" s="31"/>
      <c r="O18" s="31"/>
      <c r="P18" s="31"/>
      <c r="Q18" s="31"/>
      <c r="R18" s="31"/>
      <c r="S18" s="31"/>
      <c r="T18" s="31"/>
      <c r="U18" s="32"/>
      <c r="V18" s="32"/>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row>
    <row r="19" spans="1:85" s="3" customFormat="1" ht="30" customHeight="1" thickBot="1" x14ac:dyDescent="0.3">
      <c r="A19" s="45"/>
      <c r="B19" s="61" t="s">
        <v>49</v>
      </c>
      <c r="C19" s="54"/>
      <c r="D19" s="20">
        <v>0</v>
      </c>
      <c r="E19" s="74">
        <f>F18</f>
        <v>45965</v>
      </c>
      <c r="F19" s="74">
        <f>E19</f>
        <v>45965</v>
      </c>
      <c r="G19" s="14"/>
      <c r="H19" s="14">
        <f t="shared" si="24"/>
        <v>1</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row>
    <row r="20" spans="1:85" s="3" customFormat="1" ht="30" customHeight="1" thickBot="1" x14ac:dyDescent="0.3">
      <c r="A20" s="45"/>
      <c r="B20" s="61" t="s">
        <v>54</v>
      </c>
      <c r="C20" s="54"/>
      <c r="D20" s="20">
        <v>0</v>
      </c>
      <c r="E20" s="74">
        <f>E19</f>
        <v>45965</v>
      </c>
      <c r="F20" s="74">
        <f>E20</f>
        <v>45965</v>
      </c>
      <c r="G20" s="14"/>
      <c r="H20" s="14">
        <f t="shared" si="24"/>
        <v>1</v>
      </c>
      <c r="I20" s="31"/>
      <c r="J20" s="31"/>
      <c r="K20" s="31"/>
      <c r="L20" s="31"/>
      <c r="M20" s="31"/>
      <c r="N20" s="31"/>
      <c r="O20" s="31"/>
      <c r="P20" s="31"/>
      <c r="Q20" s="31"/>
      <c r="R20" s="31"/>
      <c r="S20" s="31"/>
      <c r="T20" s="31"/>
      <c r="U20" s="31"/>
      <c r="V20" s="31"/>
      <c r="W20" s="31"/>
      <c r="X20" s="31"/>
      <c r="Y20" s="32"/>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row>
    <row r="21" spans="1:85" s="3" customFormat="1" ht="30" customHeight="1" thickBot="1" x14ac:dyDescent="0.3">
      <c r="A21" s="45"/>
      <c r="B21" s="61" t="s">
        <v>56</v>
      </c>
      <c r="C21" s="54"/>
      <c r="D21" s="20">
        <v>0</v>
      </c>
      <c r="E21" s="74">
        <f>E20</f>
        <v>45965</v>
      </c>
      <c r="F21" s="74">
        <f>E21</f>
        <v>45965</v>
      </c>
      <c r="G21" s="14"/>
      <c r="H21" s="14">
        <f t="shared" si="24"/>
        <v>1</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row>
    <row r="22" spans="1:85" s="3" customFormat="1" ht="30" customHeight="1" thickBot="1" x14ac:dyDescent="0.3">
      <c r="A22" s="45" t="s">
        <v>11</v>
      </c>
      <c r="B22" s="21" t="s">
        <v>55</v>
      </c>
      <c r="C22" s="55"/>
      <c r="D22" s="22"/>
      <c r="E22" s="75"/>
      <c r="F22" s="76"/>
      <c r="G22" s="14"/>
      <c r="H22" s="14" t="str">
        <f t="shared" si="24"/>
        <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row>
    <row r="23" spans="1:85" s="3" customFormat="1" ht="30" customHeight="1" thickBot="1" x14ac:dyDescent="0.3">
      <c r="A23" s="45"/>
      <c r="B23" s="62" t="s">
        <v>57</v>
      </c>
      <c r="C23" s="56"/>
      <c r="D23" s="23">
        <v>0</v>
      </c>
      <c r="E23" s="77">
        <f>F21+1</f>
        <v>45966</v>
      </c>
      <c r="F23" s="77">
        <f>E23</f>
        <v>45966</v>
      </c>
      <c r="G23" s="14"/>
      <c r="H23" s="14">
        <f t="shared" si="24"/>
        <v>1</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row>
    <row r="24" spans="1:85" s="3" customFormat="1" ht="30" customHeight="1" thickBot="1" x14ac:dyDescent="0.3">
      <c r="A24" s="45"/>
      <c r="B24" s="62" t="s">
        <v>58</v>
      </c>
      <c r="C24" s="56"/>
      <c r="D24" s="23">
        <v>0</v>
      </c>
      <c r="E24" s="77">
        <f>F23</f>
        <v>45966</v>
      </c>
      <c r="F24" s="77">
        <f>E24</f>
        <v>45966</v>
      </c>
      <c r="G24" s="14"/>
      <c r="H24" s="14">
        <f t="shared" si="24"/>
        <v>1</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row>
    <row r="25" spans="1:85" s="3" customFormat="1" ht="30" customHeight="1" thickBot="1" x14ac:dyDescent="0.3">
      <c r="A25" s="45"/>
      <c r="B25" s="62" t="s">
        <v>59</v>
      </c>
      <c r="C25" s="56"/>
      <c r="D25" s="23">
        <v>0</v>
      </c>
      <c r="E25" s="77">
        <f>F24</f>
        <v>45966</v>
      </c>
      <c r="F25" s="77">
        <f>E25</f>
        <v>45966</v>
      </c>
      <c r="G25" s="14"/>
      <c r="H25" s="14">
        <f t="shared" si="24"/>
        <v>1</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row>
    <row r="26" spans="1:85" s="3" customFormat="1" ht="30" customHeight="1" thickBot="1" x14ac:dyDescent="0.3">
      <c r="A26" s="45"/>
      <c r="B26" s="62" t="s">
        <v>61</v>
      </c>
      <c r="C26" s="56"/>
      <c r="D26" s="23">
        <v>0</v>
      </c>
      <c r="E26" s="77">
        <f>F25</f>
        <v>45966</v>
      </c>
      <c r="F26" s="77">
        <f>E26</f>
        <v>45966</v>
      </c>
      <c r="G26" s="14"/>
      <c r="H26" s="14">
        <f t="shared" si="24"/>
        <v>1</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row>
    <row r="27" spans="1:85" s="3" customFormat="1" ht="30" customHeight="1" thickBot="1" x14ac:dyDescent="0.3">
      <c r="A27" s="45"/>
      <c r="B27" s="62" t="s">
        <v>69</v>
      </c>
      <c r="C27" s="56"/>
      <c r="D27" s="23"/>
      <c r="E27" s="77"/>
      <c r="F27" s="77"/>
      <c r="G27" s="14"/>
      <c r="H27" s="14"/>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row>
    <row r="28" spans="1:85" s="3" customFormat="1" ht="30" customHeight="1" thickBot="1" x14ac:dyDescent="0.3">
      <c r="A28" s="45" t="s">
        <v>70</v>
      </c>
      <c r="B28" s="62" t="s">
        <v>71</v>
      </c>
      <c r="C28" s="56"/>
      <c r="D28" s="23"/>
      <c r="E28" s="77"/>
      <c r="F28" s="77"/>
      <c r="G28" s="14"/>
      <c r="H28" s="14"/>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row>
    <row r="29" spans="1:85" s="3" customFormat="1" ht="30" customHeight="1" thickBot="1" x14ac:dyDescent="0.3">
      <c r="A29" s="45"/>
      <c r="B29" s="62" t="s">
        <v>60</v>
      </c>
      <c r="C29" s="56"/>
      <c r="D29" s="23">
        <v>0</v>
      </c>
      <c r="E29" s="77">
        <f>E25</f>
        <v>45966</v>
      </c>
      <c r="F29" s="77">
        <f>E29</f>
        <v>45966</v>
      </c>
      <c r="G29" s="14"/>
      <c r="H29" s="14">
        <f t="shared" si="24"/>
        <v>1</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row>
    <row r="30" spans="1:85" s="3" customFormat="1" ht="30" customHeight="1" thickBot="1" x14ac:dyDescent="0.3">
      <c r="A30" s="45" t="s">
        <v>11</v>
      </c>
      <c r="B30" s="24" t="s">
        <v>62</v>
      </c>
      <c r="C30" s="57"/>
      <c r="D30" s="25"/>
      <c r="E30" s="78"/>
      <c r="F30" s="79"/>
      <c r="G30" s="14"/>
      <c r="H30" s="14" t="str">
        <f t="shared" si="24"/>
        <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row>
    <row r="31" spans="1:85" s="3" customFormat="1" ht="30" customHeight="1" thickBot="1" x14ac:dyDescent="0.3">
      <c r="A31" s="45"/>
      <c r="B31" s="63" t="s">
        <v>63</v>
      </c>
      <c r="C31" s="58"/>
      <c r="D31" s="26">
        <v>0</v>
      </c>
      <c r="E31" s="80">
        <f>F29+1</f>
        <v>45967</v>
      </c>
      <c r="F31" s="80">
        <f t="shared" ref="F31:F36" si="25">E31</f>
        <v>45967</v>
      </c>
      <c r="G31" s="14"/>
      <c r="H31" s="14">
        <f t="shared" si="24"/>
        <v>1</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row>
    <row r="32" spans="1:85" s="3" customFormat="1" ht="30" customHeight="1" thickBot="1" x14ac:dyDescent="0.3">
      <c r="A32" s="45"/>
      <c r="B32" s="63" t="s">
        <v>64</v>
      </c>
      <c r="C32" s="58"/>
      <c r="D32" s="26">
        <v>0</v>
      </c>
      <c r="E32" s="80">
        <f>F31</f>
        <v>45967</v>
      </c>
      <c r="F32" s="80">
        <f t="shared" si="25"/>
        <v>45967</v>
      </c>
      <c r="G32" s="14"/>
      <c r="H32" s="14">
        <f t="shared" si="24"/>
        <v>1</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31"/>
      <c r="CG32" s="31"/>
    </row>
    <row r="33" spans="1:85" s="3" customFormat="1" ht="30" customHeight="1" thickBot="1" x14ac:dyDescent="0.3">
      <c r="A33" s="45"/>
      <c r="B33" s="63" t="s">
        <v>72</v>
      </c>
      <c r="C33" s="58"/>
      <c r="D33" s="26">
        <v>0</v>
      </c>
      <c r="E33" s="80">
        <f>F32</f>
        <v>45967</v>
      </c>
      <c r="F33" s="80">
        <f t="shared" si="25"/>
        <v>45967</v>
      </c>
      <c r="G33" s="14"/>
      <c r="H33" s="14">
        <f t="shared" si="24"/>
        <v>1</v>
      </c>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1"/>
      <c r="CG33" s="31"/>
    </row>
    <row r="34" spans="1:85" s="3" customFormat="1" ht="30" customHeight="1" thickBot="1" x14ac:dyDescent="0.3">
      <c r="A34" s="45"/>
      <c r="B34" s="63" t="s">
        <v>65</v>
      </c>
      <c r="C34" s="58"/>
      <c r="D34" s="26">
        <v>0</v>
      </c>
      <c r="E34" s="80">
        <f>F33</f>
        <v>45967</v>
      </c>
      <c r="F34" s="80">
        <f t="shared" si="25"/>
        <v>45967</v>
      </c>
      <c r="G34" s="14"/>
      <c r="H34" s="14">
        <f t="shared" si="24"/>
        <v>1</v>
      </c>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c r="CB34" s="31"/>
      <c r="CC34" s="31"/>
      <c r="CD34" s="31"/>
      <c r="CE34" s="31"/>
      <c r="CF34" s="31"/>
      <c r="CG34" s="31"/>
    </row>
    <row r="35" spans="1:85" s="3" customFormat="1" ht="30" customHeight="1" thickBot="1" x14ac:dyDescent="0.3">
      <c r="A35" s="45"/>
      <c r="B35" s="63" t="s">
        <v>66</v>
      </c>
      <c r="C35" s="58"/>
      <c r="D35" s="26">
        <v>0</v>
      </c>
      <c r="E35" s="80">
        <f>F34</f>
        <v>45967</v>
      </c>
      <c r="F35" s="80">
        <f t="shared" si="25"/>
        <v>45967</v>
      </c>
      <c r="G35" s="14"/>
      <c r="H35" s="14">
        <f t="shared" si="24"/>
        <v>1</v>
      </c>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31"/>
      <c r="CG35" s="31"/>
    </row>
    <row r="36" spans="1:85" s="3" customFormat="1" ht="30" customHeight="1" thickBot="1" x14ac:dyDescent="0.3">
      <c r="A36" s="45"/>
      <c r="B36" s="63" t="s">
        <v>67</v>
      </c>
      <c r="C36" s="58"/>
      <c r="D36" s="26"/>
      <c r="E36" s="80">
        <f>DATE(2026,1,6)</f>
        <v>46028</v>
      </c>
      <c r="F36" s="80">
        <f t="shared" si="25"/>
        <v>46028</v>
      </c>
      <c r="G36" s="14"/>
      <c r="H36" s="14"/>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31"/>
      <c r="CA36" s="31"/>
      <c r="CB36" s="31"/>
      <c r="CC36" s="31"/>
      <c r="CD36" s="31"/>
      <c r="CE36" s="31"/>
      <c r="CF36" s="31"/>
      <c r="CG36" s="31"/>
    </row>
    <row r="37" spans="1:85" s="3" customFormat="1" ht="30" customHeight="1" thickBot="1" x14ac:dyDescent="0.3">
      <c r="A37" s="45"/>
      <c r="B37" s="63" t="s">
        <v>39</v>
      </c>
      <c r="C37" s="58"/>
      <c r="D37" s="26"/>
      <c r="E37" s="80"/>
      <c r="F37" s="80"/>
      <c r="G37" s="14"/>
      <c r="H37" s="14"/>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31"/>
      <c r="CG37" s="31"/>
    </row>
    <row r="38" spans="1:85" s="3" customFormat="1" ht="30" customHeight="1" thickBot="1" x14ac:dyDescent="0.3">
      <c r="A38" s="45" t="s">
        <v>12</v>
      </c>
      <c r="B38" s="64"/>
      <c r="C38" s="59"/>
      <c r="D38" s="13"/>
      <c r="E38" s="81"/>
      <c r="F38" s="81"/>
      <c r="G38" s="14"/>
      <c r="H38" s="14" t="str">
        <f t="shared" si="24"/>
        <v/>
      </c>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c r="CA38" s="31"/>
      <c r="CB38" s="31"/>
      <c r="CC38" s="31"/>
      <c r="CD38" s="31"/>
      <c r="CE38" s="31"/>
      <c r="CF38" s="31"/>
      <c r="CG38" s="31"/>
    </row>
    <row r="39" spans="1:85" s="3" customFormat="1" ht="30" customHeight="1" thickBot="1" x14ac:dyDescent="0.3">
      <c r="A39" s="46" t="s">
        <v>13</v>
      </c>
      <c r="B39" s="27" t="s">
        <v>16</v>
      </c>
      <c r="C39" s="28"/>
      <c r="D39" s="29"/>
      <c r="E39" s="82"/>
      <c r="F39" s="83"/>
      <c r="G39" s="30"/>
      <c r="H39" s="30" t="str">
        <f t="shared" si="24"/>
        <v/>
      </c>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row>
    <row r="40" spans="1:85" ht="30" customHeight="1" x14ac:dyDescent="0.25">
      <c r="G40" s="6"/>
    </row>
    <row r="41" spans="1:85" ht="30" customHeight="1" x14ac:dyDescent="0.25">
      <c r="C41" s="11"/>
      <c r="F41" s="47"/>
    </row>
    <row r="42" spans="1:85" ht="30" customHeight="1" x14ac:dyDescent="0.25">
      <c r="C42" s="12"/>
    </row>
  </sheetData>
  <mergeCells count="14">
    <mergeCell ref="BM4:BS4"/>
    <mergeCell ref="BT4:BZ4"/>
    <mergeCell ref="CA4:CG4"/>
    <mergeCell ref="C3:D3"/>
    <mergeCell ref="C4:D4"/>
    <mergeCell ref="AK4:AQ4"/>
    <mergeCell ref="AR4:AX4"/>
    <mergeCell ref="AY4:BE4"/>
    <mergeCell ref="BF4:BL4"/>
    <mergeCell ref="E3:F3"/>
    <mergeCell ref="I4:O4"/>
    <mergeCell ref="P4:V4"/>
    <mergeCell ref="W4:AC4"/>
    <mergeCell ref="AD4:AJ4"/>
  </mergeCells>
  <conditionalFormatting sqref="D7:D39">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7 BM5:CG6 I8:CG39">
    <cfRule type="expression" dxfId="2" priority="33">
      <formula>AND(TODAY()&gt;=I$5,TODAY()&lt;J$5)</formula>
    </cfRule>
  </conditionalFormatting>
  <conditionalFormatting sqref="I7:BL7 I8:CG39">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40625" defaultRowHeight="12.75" x14ac:dyDescent="0.2"/>
  <cols>
    <col min="1" max="1" width="87.140625" style="35" customWidth="1"/>
    <col min="2" max="16384" width="9.140625" style="2"/>
  </cols>
  <sheetData>
    <row r="1" spans="1:2" ht="46.5" customHeight="1" x14ac:dyDescent="0.2"/>
    <row r="2" spans="1:2" s="37" customFormat="1" ht="15.75" x14ac:dyDescent="0.25">
      <c r="A2" s="36" t="s">
        <v>24</v>
      </c>
      <c r="B2" s="36"/>
    </row>
    <row r="3" spans="1:2" s="41" customFormat="1" ht="27" customHeight="1" x14ac:dyDescent="0.25">
      <c r="A3" s="68" t="s">
        <v>25</v>
      </c>
      <c r="B3" s="42"/>
    </row>
    <row r="4" spans="1:2" s="38" customFormat="1" ht="26.25" x14ac:dyDescent="0.4">
      <c r="A4" s="39" t="s">
        <v>26</v>
      </c>
    </row>
    <row r="5" spans="1:2" ht="74.099999999999994" customHeight="1" x14ac:dyDescent="0.2">
      <c r="A5" s="40" t="s">
        <v>27</v>
      </c>
    </row>
    <row r="6" spans="1:2" ht="26.25" customHeight="1" x14ac:dyDescent="0.2">
      <c r="A6" s="39" t="s">
        <v>28</v>
      </c>
    </row>
    <row r="7" spans="1:2" s="35" customFormat="1" ht="204.95" customHeight="1" x14ac:dyDescent="0.25">
      <c r="A7" s="44" t="s">
        <v>29</v>
      </c>
    </row>
    <row r="8" spans="1:2" s="38" customFormat="1" ht="26.25" x14ac:dyDescent="0.4">
      <c r="A8" s="39" t="s">
        <v>30</v>
      </c>
    </row>
    <row r="9" spans="1:2" ht="60" x14ac:dyDescent="0.2">
      <c r="A9" s="40" t="s">
        <v>31</v>
      </c>
    </row>
    <row r="10" spans="1:2" s="35" customFormat="1" ht="27.95" customHeight="1" x14ac:dyDescent="0.25">
      <c r="A10" s="43" t="s">
        <v>32</v>
      </c>
    </row>
    <row r="11" spans="1:2" s="38" customFormat="1" ht="26.25" x14ac:dyDescent="0.4">
      <c r="A11" s="39" t="s">
        <v>33</v>
      </c>
    </row>
    <row r="12" spans="1:2" ht="30" x14ac:dyDescent="0.2">
      <c r="A12" s="40" t="s">
        <v>34</v>
      </c>
    </row>
    <row r="13" spans="1:2" s="35" customFormat="1" ht="27.95" customHeight="1" x14ac:dyDescent="0.25">
      <c r="A13" s="43" t="s">
        <v>35</v>
      </c>
    </row>
    <row r="14" spans="1:2" s="38" customFormat="1" ht="26.25" x14ac:dyDescent="0.4">
      <c r="A14" s="39" t="s">
        <v>36</v>
      </c>
    </row>
    <row r="15" spans="1:2" ht="75" customHeight="1" x14ac:dyDescent="0.2">
      <c r="A15" s="40" t="s">
        <v>37</v>
      </c>
    </row>
    <row r="16" spans="1:2" ht="75" x14ac:dyDescent="0.2">
      <c r="A16" s="40" t="s">
        <v>38</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2025-11-11T15:45:56Z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