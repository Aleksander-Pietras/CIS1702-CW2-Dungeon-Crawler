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32488402-9845-4CCA-8AC9-1F525B9FCF21}" xr6:coauthVersionLast="47" xr6:coauthVersionMax="47" xr10:uidLastSave="{00000000-0000-0000-0000-000000000000}"/>
  <bookViews>
    <workbookView xWindow="-120" yWindow="-120" windowWidth="38640" windowHeight="2112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11" l="1"/>
  <c r="E34" i="11"/>
  <c r="F39" i="11"/>
  <c r="E39" i="11"/>
  <c r="F37" i="11"/>
  <c r="E37" i="11"/>
  <c r="E36" i="11"/>
  <c r="E38" i="11" s="1"/>
  <c r="F35" i="11"/>
  <c r="E35" i="11"/>
  <c r="F36" i="11"/>
  <c r="F38" i="11" s="1"/>
  <c r="E33" i="11"/>
  <c r="F32" i="11"/>
  <c r="E32" i="11"/>
  <c r="F31" i="11"/>
  <c r="E31" i="11"/>
  <c r="F30" i="11"/>
  <c r="E30" i="11"/>
  <c r="F29" i="11"/>
  <c r="E29" i="11"/>
  <c r="F28" i="11"/>
  <c r="E28" i="11"/>
  <c r="F27" i="11"/>
  <c r="E27" i="11"/>
  <c r="F26" i="11"/>
  <c r="E26" i="11"/>
  <c r="F19" i="11"/>
  <c r="E40" i="11"/>
  <c r="F40" i="11" s="1"/>
  <c r="E3" i="11"/>
  <c r="E13" i="11" s="1"/>
  <c r="H7" i="11"/>
  <c r="F13" i="11" l="1"/>
  <c r="E15" i="11" s="1"/>
  <c r="F15" i="11" s="1"/>
  <c r="E9" i="11"/>
  <c r="F9" i="11" s="1"/>
  <c r="E11" i="11" s="1"/>
  <c r="F11" i="11" s="1"/>
  <c r="E12" i="11" s="1"/>
  <c r="F12" i="11" s="1"/>
  <c r="E10" i="11" l="1"/>
  <c r="F10" i="11" s="1"/>
  <c r="E16" i="11" s="1"/>
  <c r="E14" i="11"/>
  <c r="F14" i="11" s="1"/>
  <c r="H15" i="11"/>
  <c r="I5" i="11"/>
  <c r="H42" i="11"/>
  <c r="H41" i="11"/>
  <c r="H33" i="11"/>
  <c r="H8" i="11"/>
  <c r="E18" i="11" l="1"/>
  <c r="F18" i="11" s="1"/>
  <c r="E17" i="11"/>
  <c r="F17" i="11" s="1"/>
  <c r="E22" i="11"/>
  <c r="F22" i="11" s="1"/>
  <c r="H16" i="11"/>
  <c r="H9" i="11"/>
  <c r="I6" i="11"/>
  <c r="E24" i="11" l="1"/>
  <c r="F24" i="11" s="1"/>
  <c r="E23" i="11"/>
  <c r="F23" i="11" s="1"/>
  <c r="E19" i="11"/>
  <c r="E20" i="11"/>
  <c r="F20" i="11" s="1"/>
  <c r="E21" i="11"/>
  <c r="F21" i="11" s="1"/>
  <c r="H12" i="11"/>
  <c r="J5" i="11"/>
  <c r="K5" i="11" s="1"/>
  <c r="L5" i="11" s="1"/>
  <c r="M5" i="11" s="1"/>
  <c r="N5" i="11" s="1"/>
  <c r="O5" i="11" s="1"/>
  <c r="P5" i="11" s="1"/>
  <c r="I4" i="11"/>
  <c r="E25" i="11" l="1"/>
  <c r="H25" i="11" s="1"/>
  <c r="H13"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H22" i="11" l="1"/>
  <c r="AK5" i="11"/>
  <c r="AL5" i="11" s="1"/>
  <c r="AM5" i="11" s="1"/>
  <c r="AN5" i="11" s="1"/>
  <c r="AO5" i="11" s="1"/>
  <c r="AP5" i="11" s="1"/>
  <c r="AQ5" i="11" s="1"/>
  <c r="M6" i="11"/>
  <c r="H23" i="11" l="1"/>
  <c r="AR5" i="11"/>
  <c r="AS5" i="11" s="1"/>
  <c r="AK4" i="11"/>
  <c r="N6" i="11"/>
  <c r="H24" i="11" l="1"/>
  <c r="AT5" i="11"/>
  <c r="AS6" i="11"/>
  <c r="AR4" i="11"/>
  <c r="O6" i="11"/>
  <c r="H26" i="11" l="1"/>
  <c r="AU5" i="11"/>
  <c r="AT6" i="11"/>
  <c r="H27" i="11" l="1"/>
  <c r="AV5" i="11"/>
  <c r="AU6" i="11"/>
  <c r="P6" i="11"/>
  <c r="Q6" i="11"/>
  <c r="H28" i="11" l="1"/>
  <c r="AW5" i="11"/>
  <c r="AV6" i="11"/>
  <c r="R6" i="11"/>
  <c r="H29" i="11" l="1"/>
  <c r="AX5" i="11"/>
  <c r="AY5" i="11" s="1"/>
  <c r="AW6" i="11"/>
  <c r="S6" i="11"/>
  <c r="H32" i="11" l="1"/>
  <c r="AY6" i="11"/>
  <c r="AZ5" i="11"/>
  <c r="AY4" i="11"/>
  <c r="AX6" i="11"/>
  <c r="T6" i="11"/>
  <c r="BA5" i="11" l="1"/>
  <c r="AZ6" i="11"/>
  <c r="U6" i="11"/>
  <c r="H34" i="11" l="1"/>
  <c r="BA6" i="11"/>
  <c r="BB5" i="11"/>
  <c r="V6" i="11"/>
  <c r="BB6" i="11" l="1"/>
  <c r="BC5" i="11"/>
  <c r="W6" i="11"/>
  <c r="H35" i="11" l="1"/>
  <c r="BC6" i="11"/>
  <c r="BD5" i="11"/>
  <c r="X6" i="11"/>
  <c r="BE5" i="11" l="1"/>
  <c r="BD6" i="11"/>
  <c r="Y6" i="11"/>
  <c r="H36" i="11" l="1"/>
  <c r="BE6" i="11"/>
  <c r="BF5" i="11"/>
  <c r="Z6" i="11"/>
  <c r="BF6" i="11" l="1"/>
  <c r="BG5" i="11"/>
  <c r="BF4" i="11"/>
  <c r="AA6" i="11"/>
  <c r="H37" i="11" l="1"/>
  <c r="BG6" i="11"/>
  <c r="BH5" i="11"/>
  <c r="AB6" i="11"/>
  <c r="H38" i="11" l="1"/>
  <c r="BI5" i="11"/>
  <c r="BH6" i="11"/>
  <c r="AC6" i="11"/>
  <c r="BJ5" i="11" l="1"/>
  <c r="BI6" i="11"/>
  <c r="AD6" i="11"/>
  <c r="BK5" i="11" l="1"/>
  <c r="BJ6" i="11"/>
  <c r="AE6" i="11"/>
  <c r="BL5" i="11" l="1"/>
  <c r="BM5" i="11" s="1"/>
  <c r="BK6" i="11"/>
  <c r="AF6" i="11"/>
  <c r="BM4" i="11" l="1"/>
  <c r="BN5" i="11"/>
  <c r="BM6" i="11"/>
  <c r="BL6" i="11"/>
  <c r="AG6" i="11"/>
  <c r="BO5" i="11" l="1"/>
  <c r="BN6" i="11"/>
  <c r="AH6" i="11"/>
  <c r="BO6" i="11" l="1"/>
  <c r="BP5" i="11"/>
  <c r="AI6" i="11"/>
  <c r="BP6" i="11" l="1"/>
  <c r="BQ5" i="11"/>
  <c r="AJ6" i="11"/>
  <c r="BQ6" i="11" l="1"/>
  <c r="BR5" i="11"/>
  <c r="AK6" i="11"/>
  <c r="BR6" i="11" l="1"/>
  <c r="BS5" i="11"/>
  <c r="AL6" i="11"/>
  <c r="BS6" i="11" l="1"/>
  <c r="BT5" i="11"/>
  <c r="AM6" i="11"/>
  <c r="BT4" i="11" l="1"/>
  <c r="BU5" i="11"/>
  <c r="BT6" i="11"/>
  <c r="AN6" i="11"/>
  <c r="BU6" i="11" l="1"/>
  <c r="BV5" i="11"/>
  <c r="AO6" i="11"/>
  <c r="BW5" i="11" l="1"/>
  <c r="BV6" i="11"/>
  <c r="AP6" i="11"/>
  <c r="BW6" i="11" l="1"/>
  <c r="BX5" i="11"/>
  <c r="AQ6" i="11"/>
  <c r="BX6" i="11" l="1"/>
  <c r="BY5" i="11"/>
  <c r="AR6" i="11"/>
  <c r="BY6" i="11" l="1"/>
  <c r="BZ5" i="11"/>
  <c r="BZ6" i="11" l="1"/>
  <c r="CA5" i="11"/>
  <c r="CA4" i="11" l="1"/>
  <c r="CB5" i="11"/>
  <c r="CA6" i="11"/>
  <c r="CC5" i="11" l="1"/>
  <c r="CB6" i="11"/>
  <c r="CD5" i="11" l="1"/>
  <c r="CC6" i="11"/>
  <c r="CE5" i="11" l="1"/>
  <c r="CD6" i="11"/>
  <c r="CE6" i="11" l="1"/>
  <c r="CF5" i="11"/>
  <c r="CF6" i="11" l="1"/>
  <c r="CG5" i="11"/>
  <c r="CG6" i="11" s="1"/>
</calcChain>
</file>

<file path=xl/sharedStrings.xml><?xml version="1.0" encoding="utf-8"?>
<sst xmlns="http://schemas.openxmlformats.org/spreadsheetml/2006/main" count="89" uniqueCount="83">
  <si>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</si>
  <si>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</si>
  <si>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</si>
  <si>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</si>
  <si>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</si>
  <si>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</si>
  <si>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</si>
  <si>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</si>
  <si>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</si>
  <si>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</si>
  <si>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</si>
  <si>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</si>
  <si>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</si>
  <si>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</si>
  <si>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Project Lead</t>
  </si>
  <si>
    <t>TASK</t>
  </si>
  <si>
    <t>Insert new rows ABOVE this one</t>
  </si>
  <si>
    <t>Project Start:</t>
  </si>
  <si>
    <t>Display Week:</t>
  </si>
  <si>
    <t>ASSIGNED
TO</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</si>
  <si>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</si>
  <si>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</si>
  <si>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</si>
  <si>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</si>
  <si>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</si>
  <si>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</si>
  <si>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</si>
  <si>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</si>
  <si>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</si>
  <si>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</si>
  <si>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</si>
  <si>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</si>
  <si>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</si>
  <si>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</si>
  <si>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</si>
  <si>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</si>
  <si>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</si>
  <si>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</si>
  <si>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</si>
  <si>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Submission Deadline</t>
  </si>
  <si>
    <t>Dungeon-Crawler</t>
  </si>
  <si>
    <t>Dungeon Crawlers</t>
  </si>
  <si>
    <t>Complete Chart</t>
  </si>
  <si>
    <t>Create Flowchart</t>
  </si>
  <si>
    <t>Create main.py</t>
  </si>
  <si>
    <t>Pseudocode</t>
  </si>
  <si>
    <t>Random room selection</t>
  </si>
  <si>
    <t>Random encounters</t>
  </si>
  <si>
    <t>Inventory</t>
  </si>
  <si>
    <t>Items</t>
  </si>
  <si>
    <t>Treasure/ Loot</t>
  </si>
  <si>
    <t>Test code</t>
  </si>
  <si>
    <t>Unit test</t>
  </si>
  <si>
    <t>Reflect on new ideas</t>
  </si>
  <si>
    <t>Report</t>
  </si>
  <si>
    <t>Create CPA (Critical Path Analysis)</t>
  </si>
  <si>
    <t>Game Over Screen ( Hp systerm)</t>
  </si>
  <si>
    <t>Scoreboard</t>
  </si>
  <si>
    <t>Scoreboard ( Enemy kills) - disucss</t>
  </si>
  <si>
    <t xml:space="preserve">Debugging </t>
  </si>
  <si>
    <t>Alex</t>
  </si>
  <si>
    <t>Assign Tasks</t>
  </si>
  <si>
    <t>Shared</t>
  </si>
  <si>
    <t>Logan</t>
  </si>
  <si>
    <t>Zahari</t>
  </si>
  <si>
    <t>Optimise code</t>
  </si>
  <si>
    <t>Research JSON</t>
  </si>
  <si>
    <t>Research Random Networks</t>
  </si>
  <si>
    <t>Create JSON File</t>
  </si>
  <si>
    <t>Set-Up Phase</t>
  </si>
  <si>
    <t>Planning Phase</t>
  </si>
  <si>
    <t>Programming Phase</t>
  </si>
  <si>
    <t>Implementation and Testing</t>
  </si>
  <si>
    <t>Design of Rooms</t>
  </si>
  <si>
    <t>Design of Entities</t>
  </si>
  <si>
    <t>Shared over meeting</t>
  </si>
  <si>
    <t>Create Entity class</t>
  </si>
  <si>
    <t>Create Player class</t>
  </si>
  <si>
    <t>Alex (can change)</t>
  </si>
  <si>
    <t>Create Dependancy Table</t>
  </si>
  <si>
    <t>Logan and Alex</t>
  </si>
  <si>
    <t>File Structure and programming branch</t>
  </si>
  <si>
    <t>Sophia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</si>
</sst>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0" fontId="10" fillId="0" borderId="0" xfId="7" applyAlignment="1">
      <alignment vertical="top" wrapText="1"/>
    </xf>
    <xf numFmtId="0" fontId="9" fillId="3" borderId="2" xfId="12" applyFill="1" applyAlignment="1">
      <alignment horizontal="left" vertical="center" wrapText="1" indent="2"/>
    </xf>
    <xf numFmtId="0" fontId="37" fillId="3" borderId="2" xfId="12" applyFont="1" applyFill="1" applyAlignment="1">
      <alignment horizontal="left" vertical="center" wrapText="1" indent="2"/>
    </xf>
    <xf numFmtId="0" fontId="9" fillId="4" borderId="2" xfId="12" applyFill="1" applyAlignment="1">
      <alignment horizontal="left" vertical="center" wrapText="1" indent="2"/>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6" fontId="9"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5"/>
  <sheetViews>
    <sheetView showGridLines="0" tabSelected="1" showRuler="0" zoomScaleNormal="100" zoomScalePageLayoutView="70" workbookViewId="0">
      <pane ySplit="6" topLeftCell="A8" activePane="bottomLeft" state="frozen"/>
      <selection pane="bottomLeft" activeCell="I8" sqref="I8"/>
    </sheetView>
  </sheetViews>
  <sheetFormatPr defaultRowHeight="30" customHeight="1" x14ac:dyDescent="0.25"/>
  <cols>
    <col min="1" max="1" width="2.7109375" style="45" customWidth="1"/>
    <col min="2" max="2" width="19.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85" width="2.5703125" customWidth="1"/>
  </cols>
  <sheetData>
    <row r="1" spans="1:85" ht="30" customHeight="1" x14ac:dyDescent="0.45">
      <c r="A1" s="46" t="s">
        <v>0</v>
      </c>
      <c r="B1" s="49" t="s">
        <v>40</v>
      </c>
      <c r="C1" s="1"/>
      <c r="D1" s="2"/>
      <c r="E1" s="4"/>
      <c r="F1" s="34"/>
      <c r="H1" s="2"/>
      <c r="I1" s="66" t="s">
        <v>24</v>
      </c>
    </row>
    <row r="2" spans="1:85" ht="30" customHeight="1" x14ac:dyDescent="0.3">
      <c r="A2" s="45" t="s">
        <v>1</v>
      </c>
      <c r="B2" s="50" t="s">
        <v>41</v>
      </c>
      <c r="I2" s="67" t="s">
        <v>25</v>
      </c>
    </row>
    <row r="3" spans="1:85" ht="30" customHeight="1" x14ac:dyDescent="0.25">
      <c r="A3" s="45" t="s">
        <v>2</v>
      </c>
      <c r="B3" s="87" t="s">
        <v>14</v>
      </c>
      <c r="C3" s="94" t="s">
        <v>17</v>
      </c>
      <c r="D3" s="95"/>
      <c r="E3" s="96">
        <f>DATE(2025,11,11)</f>
        <v>45972</v>
      </c>
      <c r="F3" s="96"/>
    </row>
    <row r="4" spans="1:85" ht="30" customHeight="1" x14ac:dyDescent="0.25">
      <c r="A4" s="46" t="s">
        <v>3</v>
      </c>
      <c r="C4" s="94" t="s">
        <v>18</v>
      </c>
      <c r="D4" s="95"/>
      <c r="E4" s="7">
        <v>0</v>
      </c>
      <c r="I4" s="91">
        <f>I5</f>
        <v>45964</v>
      </c>
      <c r="J4" s="92"/>
      <c r="K4" s="92"/>
      <c r="L4" s="92"/>
      <c r="M4" s="92"/>
      <c r="N4" s="92"/>
      <c r="O4" s="93"/>
      <c r="P4" s="91">
        <f>P5</f>
        <v>45971</v>
      </c>
      <c r="Q4" s="92"/>
      <c r="R4" s="92"/>
      <c r="S4" s="92"/>
      <c r="T4" s="92"/>
      <c r="U4" s="92"/>
      <c r="V4" s="93"/>
      <c r="W4" s="91">
        <f>W5</f>
        <v>45978</v>
      </c>
      <c r="X4" s="92"/>
      <c r="Y4" s="92"/>
      <c r="Z4" s="92"/>
      <c r="AA4" s="92"/>
      <c r="AB4" s="92"/>
      <c r="AC4" s="93"/>
      <c r="AD4" s="91">
        <f>AD5</f>
        <v>45985</v>
      </c>
      <c r="AE4" s="92"/>
      <c r="AF4" s="92"/>
      <c r="AG4" s="92"/>
      <c r="AH4" s="92"/>
      <c r="AI4" s="92"/>
      <c r="AJ4" s="93"/>
      <c r="AK4" s="91">
        <f>AK5</f>
        <v>45992</v>
      </c>
      <c r="AL4" s="92"/>
      <c r="AM4" s="92"/>
      <c r="AN4" s="92"/>
      <c r="AO4" s="92"/>
      <c r="AP4" s="92"/>
      <c r="AQ4" s="93"/>
      <c r="AR4" s="91">
        <f>AR5</f>
        <v>45999</v>
      </c>
      <c r="AS4" s="92"/>
      <c r="AT4" s="92"/>
      <c r="AU4" s="92"/>
      <c r="AV4" s="92"/>
      <c r="AW4" s="92"/>
      <c r="AX4" s="93"/>
      <c r="AY4" s="91">
        <f>AY5</f>
        <v>46006</v>
      </c>
      <c r="AZ4" s="92"/>
      <c r="BA4" s="92"/>
      <c r="BB4" s="92"/>
      <c r="BC4" s="92"/>
      <c r="BD4" s="92"/>
      <c r="BE4" s="93"/>
      <c r="BF4" s="91">
        <f>BF5</f>
        <v>46013</v>
      </c>
      <c r="BG4" s="92"/>
      <c r="BH4" s="92"/>
      <c r="BI4" s="92"/>
      <c r="BJ4" s="92"/>
      <c r="BK4" s="92"/>
      <c r="BL4" s="93"/>
      <c r="BM4" s="91">
        <f>BM5</f>
        <v>46020</v>
      </c>
      <c r="BN4" s="92"/>
      <c r="BO4" s="92"/>
      <c r="BP4" s="92"/>
      <c r="BQ4" s="92"/>
      <c r="BR4" s="92"/>
      <c r="BS4" s="93"/>
      <c r="BT4" s="91">
        <f>BT5</f>
        <v>46027</v>
      </c>
      <c r="BU4" s="92"/>
      <c r="BV4" s="92"/>
      <c r="BW4" s="92"/>
      <c r="BX4" s="92"/>
      <c r="BY4" s="92"/>
      <c r="BZ4" s="93"/>
      <c r="CA4" s="91">
        <f>CA5</f>
        <v>46034</v>
      </c>
      <c r="CB4" s="92"/>
      <c r="CC4" s="92"/>
      <c r="CD4" s="92"/>
      <c r="CE4" s="92"/>
      <c r="CF4" s="92"/>
      <c r="CG4" s="93"/>
    </row>
    <row r="5" spans="1:85" ht="15" customHeight="1" x14ac:dyDescent="0.25">
      <c r="A5" s="46" t="s">
        <v>4</v>
      </c>
      <c r="B5" s="65"/>
      <c r="C5" s="65"/>
      <c r="D5" s="65"/>
      <c r="E5" s="65"/>
      <c r="F5" s="65"/>
      <c r="G5" s="65"/>
      <c r="I5" s="84">
        <f>Project_Start-WEEKDAY(Project_Start,1)+2+7*(Display_Week-1)</f>
        <v>45964</v>
      </c>
      <c r="J5" s="85">
        <f>I5+1</f>
        <v>45965</v>
      </c>
      <c r="K5" s="85">
        <f t="shared" ref="K5:AX5" si="0">J5+1</f>
        <v>45966</v>
      </c>
      <c r="L5" s="85">
        <f t="shared" si="0"/>
        <v>45967</v>
      </c>
      <c r="M5" s="85">
        <f t="shared" si="0"/>
        <v>45968</v>
      </c>
      <c r="N5" s="85">
        <f t="shared" si="0"/>
        <v>45969</v>
      </c>
      <c r="O5" s="86">
        <f t="shared" si="0"/>
        <v>45970</v>
      </c>
      <c r="P5" s="84">
        <f>O5+1</f>
        <v>45971</v>
      </c>
      <c r="Q5" s="85">
        <f>P5+1</f>
        <v>45972</v>
      </c>
      <c r="R5" s="85">
        <f t="shared" si="0"/>
        <v>45973</v>
      </c>
      <c r="S5" s="85">
        <f t="shared" si="0"/>
        <v>45974</v>
      </c>
      <c r="T5" s="85">
        <f t="shared" si="0"/>
        <v>45975</v>
      </c>
      <c r="U5" s="85">
        <f t="shared" si="0"/>
        <v>45976</v>
      </c>
      <c r="V5" s="86">
        <f t="shared" si="0"/>
        <v>45977</v>
      </c>
      <c r="W5" s="84">
        <f>V5+1</f>
        <v>45978</v>
      </c>
      <c r="X5" s="85">
        <f>W5+1</f>
        <v>45979</v>
      </c>
      <c r="Y5" s="85">
        <f t="shared" si="0"/>
        <v>45980</v>
      </c>
      <c r="Z5" s="85">
        <f t="shared" si="0"/>
        <v>45981</v>
      </c>
      <c r="AA5" s="85">
        <f t="shared" si="0"/>
        <v>45982</v>
      </c>
      <c r="AB5" s="85">
        <f t="shared" si="0"/>
        <v>45983</v>
      </c>
      <c r="AC5" s="86">
        <f t="shared" si="0"/>
        <v>45984</v>
      </c>
      <c r="AD5" s="84">
        <f>AC5+1</f>
        <v>45985</v>
      </c>
      <c r="AE5" s="85">
        <f>AD5+1</f>
        <v>45986</v>
      </c>
      <c r="AF5" s="85">
        <f t="shared" si="0"/>
        <v>45987</v>
      </c>
      <c r="AG5" s="85">
        <f t="shared" si="0"/>
        <v>45988</v>
      </c>
      <c r="AH5" s="85">
        <f t="shared" si="0"/>
        <v>45989</v>
      </c>
      <c r="AI5" s="85">
        <f t="shared" si="0"/>
        <v>45990</v>
      </c>
      <c r="AJ5" s="86">
        <f t="shared" si="0"/>
        <v>45991</v>
      </c>
      <c r="AK5" s="84">
        <f>AJ5+1</f>
        <v>45992</v>
      </c>
      <c r="AL5" s="85">
        <f>AK5+1</f>
        <v>45993</v>
      </c>
      <c r="AM5" s="85">
        <f t="shared" si="0"/>
        <v>45994</v>
      </c>
      <c r="AN5" s="85">
        <f t="shared" si="0"/>
        <v>45995</v>
      </c>
      <c r="AO5" s="85">
        <f t="shared" si="0"/>
        <v>45996</v>
      </c>
      <c r="AP5" s="85">
        <f t="shared" si="0"/>
        <v>45997</v>
      </c>
      <c r="AQ5" s="86">
        <f t="shared" si="0"/>
        <v>45998</v>
      </c>
      <c r="AR5" s="84">
        <f>AQ5+1</f>
        <v>45999</v>
      </c>
      <c r="AS5" s="85">
        <f>AR5+1</f>
        <v>46000</v>
      </c>
      <c r="AT5" s="85">
        <f t="shared" si="0"/>
        <v>46001</v>
      </c>
      <c r="AU5" s="85">
        <f t="shared" si="0"/>
        <v>46002</v>
      </c>
      <c r="AV5" s="85">
        <f t="shared" si="0"/>
        <v>46003</v>
      </c>
      <c r="AW5" s="85">
        <f t="shared" si="0"/>
        <v>46004</v>
      </c>
      <c r="AX5" s="86">
        <f t="shared" si="0"/>
        <v>46005</v>
      </c>
      <c r="AY5" s="84">
        <f>AX5+1</f>
        <v>46006</v>
      </c>
      <c r="AZ5" s="85">
        <f>AY5+1</f>
        <v>46007</v>
      </c>
      <c r="BA5" s="85">
        <f t="shared" ref="BA5:BE5" si="1">AZ5+1</f>
        <v>46008</v>
      </c>
      <c r="BB5" s="85">
        <f t="shared" si="1"/>
        <v>46009</v>
      </c>
      <c r="BC5" s="85">
        <f t="shared" si="1"/>
        <v>46010</v>
      </c>
      <c r="BD5" s="85">
        <f t="shared" si="1"/>
        <v>46011</v>
      </c>
      <c r="BE5" s="86">
        <f t="shared" si="1"/>
        <v>46012</v>
      </c>
      <c r="BF5" s="84">
        <f>BE5+1</f>
        <v>46013</v>
      </c>
      <c r="BG5" s="85">
        <f>BF5+1</f>
        <v>46014</v>
      </c>
      <c r="BH5" s="85">
        <f t="shared" ref="BH5:BL5" si="2">BG5+1</f>
        <v>46015</v>
      </c>
      <c r="BI5" s="85">
        <f t="shared" si="2"/>
        <v>46016</v>
      </c>
      <c r="BJ5" s="85">
        <f t="shared" si="2"/>
        <v>46017</v>
      </c>
      <c r="BK5" s="85">
        <f t="shared" si="2"/>
        <v>46018</v>
      </c>
      <c r="BL5" s="86">
        <f t="shared" si="2"/>
        <v>46019</v>
      </c>
      <c r="BM5" s="84">
        <f>BL5+1</f>
        <v>46020</v>
      </c>
      <c r="BN5" s="85">
        <f>BM5+1</f>
        <v>46021</v>
      </c>
      <c r="BO5" s="85">
        <f t="shared" ref="BO5" si="3">BN5+1</f>
        <v>46022</v>
      </c>
      <c r="BP5" s="85">
        <f t="shared" ref="BP5" si="4">BO5+1</f>
        <v>46023</v>
      </c>
      <c r="BQ5" s="85">
        <f t="shared" ref="BQ5" si="5">BP5+1</f>
        <v>46024</v>
      </c>
      <c r="BR5" s="85">
        <f t="shared" ref="BR5" si="6">BQ5+1</f>
        <v>46025</v>
      </c>
      <c r="BS5" s="86">
        <f t="shared" ref="BS5" si="7">BR5+1</f>
        <v>46026</v>
      </c>
      <c r="BT5" s="84">
        <f>BS5+1</f>
        <v>46027</v>
      </c>
      <c r="BU5" s="85">
        <f>BT5+1</f>
        <v>46028</v>
      </c>
      <c r="BV5" s="85">
        <f t="shared" ref="BV5" si="8">BU5+1</f>
        <v>46029</v>
      </c>
      <c r="BW5" s="85">
        <f t="shared" ref="BW5" si="9">BV5+1</f>
        <v>46030</v>
      </c>
      <c r="BX5" s="85">
        <f t="shared" ref="BX5" si="10">BW5+1</f>
        <v>46031</v>
      </c>
      <c r="BY5" s="85">
        <f t="shared" ref="BY5" si="11">BX5+1</f>
        <v>46032</v>
      </c>
      <c r="BZ5" s="86">
        <f t="shared" ref="BZ5" si="12">BY5+1</f>
        <v>46033</v>
      </c>
      <c r="CA5" s="84">
        <f>BZ5+1</f>
        <v>46034</v>
      </c>
      <c r="CB5" s="85">
        <f>CA5+1</f>
        <v>46035</v>
      </c>
      <c r="CC5" s="85">
        <f t="shared" ref="CC5" si="13">CB5+1</f>
        <v>46036</v>
      </c>
      <c r="CD5" s="85">
        <f t="shared" ref="CD5" si="14">CC5+1</f>
        <v>46037</v>
      </c>
      <c r="CE5" s="85">
        <f t="shared" ref="CE5" si="15">CD5+1</f>
        <v>46038</v>
      </c>
      <c r="CF5" s="85">
        <f t="shared" ref="CF5" si="16">CE5+1</f>
        <v>46039</v>
      </c>
      <c r="CG5" s="86">
        <f t="shared" ref="CG5" si="17">CF5+1</f>
        <v>46040</v>
      </c>
    </row>
    <row r="6" spans="1:85" ht="30" customHeight="1" thickBot="1" x14ac:dyDescent="0.3">
      <c r="A6" s="46" t="s">
        <v>5</v>
      </c>
      <c r="B6" s="8" t="s">
        <v>15</v>
      </c>
      <c r="C6" s="9" t="s">
        <v>19</v>
      </c>
      <c r="D6" s="9" t="s">
        <v>20</v>
      </c>
      <c r="E6" s="9" t="s">
        <v>21</v>
      </c>
      <c r="F6" s="9" t="s">
        <v>22</v>
      </c>
      <c r="G6" s="9"/>
      <c r="H6" s="9" t="s">
        <v>23</v>
      </c>
      <c r="I6" s="10" t="str">
        <f t="shared" ref="I6" si="18">LEFT(TEXT(I5,"ddd"),1)</f>
        <v>M</v>
      </c>
      <c r="J6" s="10" t="str">
        <f t="shared" ref="J6:AR6" si="19">LEFT(TEXT(J5,"ddd"),1)</f>
        <v>T</v>
      </c>
      <c r="K6" s="10" t="str">
        <f t="shared" si="19"/>
        <v>W</v>
      </c>
      <c r="L6" s="10" t="str">
        <f t="shared" si="19"/>
        <v>T</v>
      </c>
      <c r="M6" s="10" t="str">
        <f t="shared" si="19"/>
        <v>F</v>
      </c>
      <c r="N6" s="10" t="str">
        <f t="shared" si="19"/>
        <v>S</v>
      </c>
      <c r="O6" s="10" t="str">
        <f t="shared" si="19"/>
        <v>S</v>
      </c>
      <c r="P6" s="10" t="str">
        <f t="shared" si="19"/>
        <v>M</v>
      </c>
      <c r="Q6" s="10" t="str">
        <f t="shared" si="19"/>
        <v>T</v>
      </c>
      <c r="R6" s="10" t="str">
        <f t="shared" si="19"/>
        <v>W</v>
      </c>
      <c r="S6" s="10" t="str">
        <f t="shared" si="19"/>
        <v>T</v>
      </c>
      <c r="T6" s="10" t="str">
        <f t="shared" si="19"/>
        <v>F</v>
      </c>
      <c r="U6" s="10" t="str">
        <f t="shared" si="19"/>
        <v>S</v>
      </c>
      <c r="V6" s="10" t="str">
        <f t="shared" si="19"/>
        <v>S</v>
      </c>
      <c r="W6" s="10" t="str">
        <f t="shared" si="19"/>
        <v>M</v>
      </c>
      <c r="X6" s="10" t="str">
        <f t="shared" si="19"/>
        <v>T</v>
      </c>
      <c r="Y6" s="10" t="str">
        <f t="shared" si="19"/>
        <v>W</v>
      </c>
      <c r="Z6" s="10" t="str">
        <f t="shared" si="19"/>
        <v>T</v>
      </c>
      <c r="AA6" s="10" t="str">
        <f t="shared" si="19"/>
        <v>F</v>
      </c>
      <c r="AB6" s="10" t="str">
        <f t="shared" si="19"/>
        <v>S</v>
      </c>
      <c r="AC6" s="10" t="str">
        <f t="shared" si="19"/>
        <v>S</v>
      </c>
      <c r="AD6" s="10" t="str">
        <f t="shared" si="19"/>
        <v>M</v>
      </c>
      <c r="AE6" s="10" t="str">
        <f t="shared" si="19"/>
        <v>T</v>
      </c>
      <c r="AF6" s="10" t="str">
        <f t="shared" si="19"/>
        <v>W</v>
      </c>
      <c r="AG6" s="10" t="str">
        <f t="shared" si="19"/>
        <v>T</v>
      </c>
      <c r="AH6" s="10" t="str">
        <f t="shared" si="19"/>
        <v>F</v>
      </c>
      <c r="AI6" s="10" t="str">
        <f t="shared" si="19"/>
        <v>S</v>
      </c>
      <c r="AJ6" s="10" t="str">
        <f t="shared" si="19"/>
        <v>S</v>
      </c>
      <c r="AK6" s="10" t="str">
        <f t="shared" si="19"/>
        <v>M</v>
      </c>
      <c r="AL6" s="10" t="str">
        <f t="shared" si="19"/>
        <v>T</v>
      </c>
      <c r="AM6" s="10" t="str">
        <f t="shared" si="19"/>
        <v>W</v>
      </c>
      <c r="AN6" s="10" t="str">
        <f t="shared" si="19"/>
        <v>T</v>
      </c>
      <c r="AO6" s="10" t="str">
        <f t="shared" si="19"/>
        <v>F</v>
      </c>
      <c r="AP6" s="10" t="str">
        <f t="shared" si="19"/>
        <v>S</v>
      </c>
      <c r="AQ6" s="10" t="str">
        <f t="shared" si="19"/>
        <v>S</v>
      </c>
      <c r="AR6" s="10" t="str">
        <f t="shared" si="19"/>
        <v>M</v>
      </c>
      <c r="AS6" s="10" t="str">
        <f t="shared" ref="AS6:BL6" si="20">LEFT(TEXT(AS5,"ddd"),1)</f>
        <v>T</v>
      </c>
      <c r="AT6" s="10" t="str">
        <f t="shared" si="20"/>
        <v>W</v>
      </c>
      <c r="AU6" s="10" t="str">
        <f t="shared" si="20"/>
        <v>T</v>
      </c>
      <c r="AV6" s="10" t="str">
        <f t="shared" si="20"/>
        <v>F</v>
      </c>
      <c r="AW6" s="10" t="str">
        <f t="shared" si="20"/>
        <v>S</v>
      </c>
      <c r="AX6" s="10" t="str">
        <f t="shared" si="20"/>
        <v>S</v>
      </c>
      <c r="AY6" s="10" t="str">
        <f t="shared" si="20"/>
        <v>M</v>
      </c>
      <c r="AZ6" s="10" t="str">
        <f t="shared" si="20"/>
        <v>T</v>
      </c>
      <c r="BA6" s="10" t="str">
        <f t="shared" si="20"/>
        <v>W</v>
      </c>
      <c r="BB6" s="10" t="str">
        <f t="shared" si="20"/>
        <v>T</v>
      </c>
      <c r="BC6" s="10" t="str">
        <f t="shared" si="20"/>
        <v>F</v>
      </c>
      <c r="BD6" s="10" t="str">
        <f t="shared" si="20"/>
        <v>S</v>
      </c>
      <c r="BE6" s="10" t="str">
        <f t="shared" si="20"/>
        <v>S</v>
      </c>
      <c r="BF6" s="10" t="str">
        <f t="shared" si="20"/>
        <v>M</v>
      </c>
      <c r="BG6" s="10" t="str">
        <f t="shared" si="20"/>
        <v>T</v>
      </c>
      <c r="BH6" s="10" t="str">
        <f t="shared" si="20"/>
        <v>W</v>
      </c>
      <c r="BI6" s="10" t="str">
        <f t="shared" si="20"/>
        <v>T</v>
      </c>
      <c r="BJ6" s="10" t="str">
        <f t="shared" si="20"/>
        <v>F</v>
      </c>
      <c r="BK6" s="10" t="str">
        <f t="shared" si="20"/>
        <v>S</v>
      </c>
      <c r="BL6" s="10" t="str">
        <f t="shared" si="20"/>
        <v>S</v>
      </c>
      <c r="BM6" s="10" t="str">
        <f t="shared" ref="BM6:BS6" si="21">LEFT(TEXT(BM5,"ddd"),1)</f>
        <v>M</v>
      </c>
      <c r="BN6" s="10" t="str">
        <f t="shared" si="21"/>
        <v>T</v>
      </c>
      <c r="BO6" s="10" t="str">
        <f t="shared" si="21"/>
        <v>W</v>
      </c>
      <c r="BP6" s="10" t="str">
        <f t="shared" si="21"/>
        <v>T</v>
      </c>
      <c r="BQ6" s="10" t="str">
        <f t="shared" si="21"/>
        <v>F</v>
      </c>
      <c r="BR6" s="10" t="str">
        <f t="shared" si="21"/>
        <v>S</v>
      </c>
      <c r="BS6" s="10" t="str">
        <f t="shared" si="21"/>
        <v>S</v>
      </c>
      <c r="BT6" s="10" t="str">
        <f t="shared" ref="BT6:BZ6" si="22">LEFT(TEXT(BT5,"ddd"),1)</f>
        <v>M</v>
      </c>
      <c r="BU6" s="10" t="str">
        <f t="shared" si="22"/>
        <v>T</v>
      </c>
      <c r="BV6" s="10" t="str">
        <f t="shared" si="22"/>
        <v>W</v>
      </c>
      <c r="BW6" s="10" t="str">
        <f t="shared" si="22"/>
        <v>T</v>
      </c>
      <c r="BX6" s="10" t="str">
        <f t="shared" si="22"/>
        <v>F</v>
      </c>
      <c r="BY6" s="10" t="str">
        <f t="shared" si="22"/>
        <v>S</v>
      </c>
      <c r="BZ6" s="10" t="str">
        <f t="shared" si="22"/>
        <v>S</v>
      </c>
      <c r="CA6" s="10" t="str">
        <f t="shared" ref="CA6:CG6" si="23">LEFT(TEXT(CA5,"ddd"),1)</f>
        <v>M</v>
      </c>
      <c r="CB6" s="10" t="str">
        <f t="shared" si="23"/>
        <v>T</v>
      </c>
      <c r="CC6" s="10" t="str">
        <f t="shared" si="23"/>
        <v>W</v>
      </c>
      <c r="CD6" s="10" t="str">
        <f t="shared" si="23"/>
        <v>T</v>
      </c>
      <c r="CE6" s="10" t="str">
        <f t="shared" si="23"/>
        <v>F</v>
      </c>
      <c r="CF6" s="10" t="str">
        <f t="shared" si="23"/>
        <v>S</v>
      </c>
      <c r="CG6" s="10" t="str">
        <f t="shared" si="23"/>
        <v>S</v>
      </c>
    </row>
    <row r="7" spans="1:85"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85" s="3" customFormat="1" ht="30" customHeight="1" thickBot="1" x14ac:dyDescent="0.3">
      <c r="A8" s="46" t="s">
        <v>7</v>
      </c>
      <c r="B8" s="15" t="s">
        <v>70</v>
      </c>
      <c r="C8" s="51"/>
      <c r="D8" s="16"/>
      <c r="E8" s="69"/>
      <c r="F8" s="70"/>
      <c r="G8" s="14"/>
      <c r="H8" s="14" t="str">
        <f t="shared" ref="H8:H42" si="24">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row>
    <row r="9" spans="1:85" s="3" customFormat="1" ht="30" customHeight="1" thickBot="1" x14ac:dyDescent="0.3">
      <c r="A9" s="46" t="s">
        <v>8</v>
      </c>
      <c r="B9" s="60" t="s">
        <v>42</v>
      </c>
      <c r="C9" s="52" t="s">
        <v>60</v>
      </c>
      <c r="D9" s="17">
        <v>1</v>
      </c>
      <c r="E9" s="71">
        <f>Project_Start</f>
        <v>45972</v>
      </c>
      <c r="F9" s="71">
        <f>E9+7</f>
        <v>45979</v>
      </c>
      <c r="G9" s="14"/>
      <c r="H9" s="14">
        <f t="shared" si="24"/>
        <v>8</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row>
    <row r="10" spans="1:85" s="3" customFormat="1" ht="30" customHeight="1" thickBot="1" x14ac:dyDescent="0.3">
      <c r="A10" s="46"/>
      <c r="B10" s="60" t="s">
        <v>61</v>
      </c>
      <c r="C10" s="52" t="s">
        <v>62</v>
      </c>
      <c r="D10" s="17">
        <v>0.2</v>
      </c>
      <c r="E10" s="71">
        <f>F9</f>
        <v>45979</v>
      </c>
      <c r="F10" s="71">
        <f>E10+5</f>
        <v>45984</v>
      </c>
      <c r="G10" s="14"/>
      <c r="H10" s="14"/>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row>
    <row r="11" spans="1:85" s="3" customFormat="1" ht="30" customHeight="1" thickBot="1" x14ac:dyDescent="0.3">
      <c r="A11" s="46"/>
      <c r="B11" s="88" t="s">
        <v>79</v>
      </c>
      <c r="C11" s="52" t="s">
        <v>80</v>
      </c>
      <c r="D11" s="17">
        <v>0</v>
      </c>
      <c r="E11" s="71">
        <f>F9</f>
        <v>45979</v>
      </c>
      <c r="F11" s="71">
        <f>E11+3</f>
        <v>45982</v>
      </c>
      <c r="G11" s="14"/>
      <c r="H11" s="14"/>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row>
    <row r="12" spans="1:85" s="3" customFormat="1" ht="30" customHeight="1" thickBot="1" x14ac:dyDescent="0.3">
      <c r="A12" s="46" t="s">
        <v>9</v>
      </c>
      <c r="B12" s="89" t="s">
        <v>55</v>
      </c>
      <c r="C12" s="52" t="s">
        <v>63</v>
      </c>
      <c r="D12" s="17">
        <v>0</v>
      </c>
      <c r="E12" s="71">
        <f>F11</f>
        <v>45982</v>
      </c>
      <c r="F12" s="71">
        <f>E12+4</f>
        <v>45986</v>
      </c>
      <c r="G12" s="14"/>
      <c r="H12" s="14">
        <f t="shared" si="24"/>
        <v>5</v>
      </c>
      <c r="I12" s="31"/>
      <c r="J12" s="31"/>
      <c r="K12" s="31"/>
      <c r="L12" s="31"/>
      <c r="M12" s="31"/>
      <c r="N12" s="31"/>
      <c r="O12" s="31"/>
      <c r="P12" s="31"/>
      <c r="Q12" s="31"/>
      <c r="R12" s="31"/>
      <c r="S12" s="31"/>
      <c r="T12" s="31"/>
      <c r="U12" s="32"/>
      <c r="V12" s="32"/>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row>
    <row r="13" spans="1:85" s="3" customFormat="1" ht="30" customHeight="1" thickBot="1" x14ac:dyDescent="0.3">
      <c r="A13" s="45"/>
      <c r="B13" s="60" t="s">
        <v>43</v>
      </c>
      <c r="C13" s="52" t="s">
        <v>64</v>
      </c>
      <c r="D13" s="17">
        <v>0</v>
      </c>
      <c r="E13" s="71">
        <f>Project_Start</f>
        <v>45972</v>
      </c>
      <c r="F13" s="71">
        <f>E13+7</f>
        <v>45979</v>
      </c>
      <c r="G13" s="14"/>
      <c r="H13" s="14">
        <f t="shared" si="24"/>
        <v>8</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row>
    <row r="14" spans="1:85" s="3" customFormat="1" ht="30" customHeight="1" thickBot="1" x14ac:dyDescent="0.3">
      <c r="A14" s="45"/>
      <c r="B14" s="60" t="s">
        <v>45</v>
      </c>
      <c r="C14" s="52"/>
      <c r="D14" s="17">
        <v>0</v>
      </c>
      <c r="E14" s="71">
        <f>F13</f>
        <v>45979</v>
      </c>
      <c r="F14" s="71">
        <f>E14+7</f>
        <v>45986</v>
      </c>
      <c r="G14" s="14"/>
      <c r="H14" s="14"/>
      <c r="I14" s="31"/>
      <c r="J14" s="31"/>
      <c r="K14" s="31"/>
      <c r="L14" s="31"/>
      <c r="M14" s="31"/>
      <c r="N14" s="31"/>
      <c r="O14" s="31"/>
      <c r="P14" s="31"/>
      <c r="Q14" s="31"/>
      <c r="R14" s="31"/>
      <c r="S14" s="31"/>
      <c r="T14" s="31"/>
      <c r="U14" s="31"/>
      <c r="V14" s="31"/>
      <c r="W14" s="31"/>
      <c r="X14" s="31"/>
      <c r="Y14" s="32"/>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row>
    <row r="15" spans="1:85" s="3" customFormat="1" ht="30" customHeight="1" thickBot="1" x14ac:dyDescent="0.3">
      <c r="A15" s="45"/>
      <c r="B15" s="89" t="s">
        <v>81</v>
      </c>
      <c r="C15" s="52" t="s">
        <v>82</v>
      </c>
      <c r="D15" s="17">
        <v>0</v>
      </c>
      <c r="E15" s="71">
        <f>F13</f>
        <v>45979</v>
      </c>
      <c r="F15" s="71">
        <f>E15+4</f>
        <v>45983</v>
      </c>
      <c r="G15" s="14"/>
      <c r="H15" s="14">
        <f t="shared" si="24"/>
        <v>5</v>
      </c>
      <c r="I15" s="31"/>
      <c r="J15" s="31"/>
      <c r="K15" s="31"/>
      <c r="L15" s="31"/>
      <c r="M15" s="31"/>
      <c r="N15" s="31"/>
      <c r="O15" s="31"/>
      <c r="P15" s="31"/>
      <c r="Q15" s="31"/>
      <c r="R15" s="31"/>
      <c r="S15" s="31"/>
      <c r="T15" s="31"/>
      <c r="U15" s="31"/>
      <c r="V15" s="31"/>
      <c r="W15" s="31"/>
      <c r="X15" s="31"/>
      <c r="Y15" s="32"/>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row>
    <row r="16" spans="1:85" s="3" customFormat="1" ht="30" customHeight="1" thickBot="1" x14ac:dyDescent="0.3">
      <c r="A16" s="46" t="s">
        <v>10</v>
      </c>
      <c r="B16" s="18" t="s">
        <v>69</v>
      </c>
      <c r="C16" s="53"/>
      <c r="D16" s="19"/>
      <c r="E16" s="72">
        <f>MAX(F9:F15)</f>
        <v>45986</v>
      </c>
      <c r="F16" s="73"/>
      <c r="G16" s="14"/>
      <c r="H16" s="14" t="str">
        <f t="shared" si="24"/>
        <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row>
    <row r="17" spans="1:85" s="3" customFormat="1" ht="30" customHeight="1" thickBot="1" x14ac:dyDescent="0.3">
      <c r="A17" s="45"/>
      <c r="B17" s="61" t="s">
        <v>66</v>
      </c>
      <c r="C17" s="54"/>
      <c r="D17" s="20">
        <v>0</v>
      </c>
      <c r="E17" s="74">
        <f>E16</f>
        <v>45986</v>
      </c>
      <c r="F17" s="74">
        <f>E17+4</f>
        <v>45990</v>
      </c>
      <c r="G17" s="14"/>
      <c r="H17" s="14"/>
      <c r="I17" s="31"/>
      <c r="J17" s="31"/>
      <c r="K17" s="31"/>
      <c r="L17" s="31"/>
      <c r="M17" s="31"/>
      <c r="N17" s="31"/>
      <c r="O17" s="31"/>
      <c r="P17" s="31"/>
      <c r="Q17" s="31"/>
      <c r="R17" s="31"/>
      <c r="S17" s="31"/>
      <c r="T17" s="31"/>
      <c r="U17" s="32"/>
      <c r="V17" s="32"/>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row>
    <row r="18" spans="1:85" s="3" customFormat="1" ht="30" customHeight="1" thickBot="1" x14ac:dyDescent="0.3">
      <c r="A18" s="45"/>
      <c r="B18" s="90" t="s">
        <v>67</v>
      </c>
      <c r="C18" s="54" t="s">
        <v>60</v>
      </c>
      <c r="D18" s="20">
        <v>0</v>
      </c>
      <c r="E18" s="74">
        <f>E16</f>
        <v>45986</v>
      </c>
      <c r="F18" s="74">
        <f>E18+7</f>
        <v>45993</v>
      </c>
      <c r="G18" s="14"/>
      <c r="H18" s="14"/>
      <c r="I18" s="31"/>
      <c r="J18" s="31"/>
      <c r="K18" s="31"/>
      <c r="L18" s="31"/>
      <c r="M18" s="31"/>
      <c r="N18" s="31"/>
      <c r="O18" s="31"/>
      <c r="P18" s="31"/>
      <c r="Q18" s="31"/>
      <c r="R18" s="31"/>
      <c r="S18" s="31"/>
      <c r="T18" s="31"/>
      <c r="U18" s="32"/>
      <c r="V18" s="32"/>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row>
    <row r="19" spans="1:85" s="3" customFormat="1" ht="30" customHeight="1" thickBot="1" x14ac:dyDescent="0.3">
      <c r="A19" s="45"/>
      <c r="B19" s="61" t="s">
        <v>68</v>
      </c>
      <c r="C19" s="54"/>
      <c r="D19" s="20">
        <v>0</v>
      </c>
      <c r="E19" s="74">
        <f>F17</f>
        <v>45990</v>
      </c>
      <c r="F19" s="74">
        <f>E19+6</f>
        <v>45996</v>
      </c>
      <c r="G19" s="14"/>
      <c r="H19" s="14"/>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row>
    <row r="20" spans="1:85" s="3" customFormat="1" ht="30" customHeight="1" thickBot="1" x14ac:dyDescent="0.3">
      <c r="A20" s="45"/>
      <c r="B20" s="61" t="s">
        <v>73</v>
      </c>
      <c r="C20" s="54" t="s">
        <v>75</v>
      </c>
      <c r="D20" s="20">
        <v>0</v>
      </c>
      <c r="E20" s="74">
        <f>F18</f>
        <v>45993</v>
      </c>
      <c r="F20" s="74">
        <f>E20+3</f>
        <v>45996</v>
      </c>
      <c r="G20" s="14"/>
      <c r="H20" s="14"/>
      <c r="I20" s="31"/>
      <c r="J20" s="31"/>
      <c r="K20" s="31"/>
      <c r="L20" s="31"/>
      <c r="M20" s="31"/>
      <c r="N20" s="31"/>
      <c r="O20" s="31"/>
      <c r="P20" s="31"/>
      <c r="Q20" s="31"/>
      <c r="R20" s="31"/>
      <c r="S20" s="31"/>
      <c r="T20" s="31"/>
      <c r="U20" s="32"/>
      <c r="V20" s="32"/>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row>
    <row r="21" spans="1:85" s="3" customFormat="1" ht="30" customHeight="1" thickBot="1" x14ac:dyDescent="0.3">
      <c r="A21" s="45"/>
      <c r="B21" s="61" t="s">
        <v>74</v>
      </c>
      <c r="C21" s="54" t="s">
        <v>75</v>
      </c>
      <c r="D21" s="20">
        <v>0</v>
      </c>
      <c r="E21" s="74">
        <f>F18</f>
        <v>45993</v>
      </c>
      <c r="F21" s="74">
        <f>E21+3</f>
        <v>45996</v>
      </c>
      <c r="G21" s="14"/>
      <c r="H21" s="14"/>
      <c r="I21" s="31"/>
      <c r="J21" s="31"/>
      <c r="K21" s="31"/>
      <c r="L21" s="31"/>
      <c r="M21" s="31"/>
      <c r="N21" s="31"/>
      <c r="O21" s="31"/>
      <c r="P21" s="31"/>
      <c r="Q21" s="31"/>
      <c r="R21" s="31"/>
      <c r="S21" s="31"/>
      <c r="T21" s="31"/>
      <c r="U21" s="32"/>
      <c r="V21" s="32"/>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row>
    <row r="22" spans="1:85" s="3" customFormat="1" ht="30" customHeight="1" thickBot="1" x14ac:dyDescent="0.3">
      <c r="A22" s="45"/>
      <c r="B22" s="61" t="s">
        <v>44</v>
      </c>
      <c r="C22" s="54"/>
      <c r="D22" s="20">
        <v>0</v>
      </c>
      <c r="E22" s="74">
        <f>E16</f>
        <v>45986</v>
      </c>
      <c r="F22" s="74">
        <f>E22+3</f>
        <v>45989</v>
      </c>
      <c r="G22" s="14"/>
      <c r="H22" s="14">
        <f t="shared" si="24"/>
        <v>4</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row>
    <row r="23" spans="1:85" s="3" customFormat="1" ht="30" customHeight="1" thickBot="1" x14ac:dyDescent="0.3">
      <c r="A23" s="45"/>
      <c r="B23" s="61" t="s">
        <v>76</v>
      </c>
      <c r="C23" s="54" t="s">
        <v>78</v>
      </c>
      <c r="D23" s="20">
        <v>0</v>
      </c>
      <c r="E23" s="74">
        <f>F22</f>
        <v>45989</v>
      </c>
      <c r="F23" s="74">
        <f>E23+3</f>
        <v>45992</v>
      </c>
      <c r="G23" s="14"/>
      <c r="H23" s="14">
        <f t="shared" si="24"/>
        <v>4</v>
      </c>
      <c r="I23" s="31"/>
      <c r="J23" s="31"/>
      <c r="K23" s="31"/>
      <c r="L23" s="31"/>
      <c r="M23" s="31"/>
      <c r="N23" s="31"/>
      <c r="O23" s="31"/>
      <c r="P23" s="31"/>
      <c r="Q23" s="31"/>
      <c r="R23" s="31"/>
      <c r="S23" s="31"/>
      <c r="T23" s="31"/>
      <c r="U23" s="31"/>
      <c r="V23" s="31"/>
      <c r="W23" s="31"/>
      <c r="X23" s="31"/>
      <c r="Y23" s="32"/>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row>
    <row r="24" spans="1:85" s="3" customFormat="1" ht="30" customHeight="1" thickBot="1" x14ac:dyDescent="0.3">
      <c r="A24" s="45"/>
      <c r="B24" s="61" t="s">
        <v>77</v>
      </c>
      <c r="C24" s="54" t="s">
        <v>60</v>
      </c>
      <c r="D24" s="20">
        <v>0</v>
      </c>
      <c r="E24" s="74">
        <f>F22</f>
        <v>45989</v>
      </c>
      <c r="F24" s="74">
        <f>E24+5</f>
        <v>45994</v>
      </c>
      <c r="G24" s="14"/>
      <c r="H24" s="14">
        <f t="shared" si="24"/>
        <v>6</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row>
    <row r="25" spans="1:85" s="3" customFormat="1" ht="30" customHeight="1" thickBot="1" x14ac:dyDescent="0.3">
      <c r="A25" s="45" t="s">
        <v>11</v>
      </c>
      <c r="B25" s="21" t="s">
        <v>71</v>
      </c>
      <c r="C25" s="55"/>
      <c r="D25" s="22"/>
      <c r="E25" s="75">
        <f>MAX(F17:F24)</f>
        <v>45996</v>
      </c>
      <c r="F25" s="76"/>
      <c r="G25" s="14"/>
      <c r="H25" s="14" t="str">
        <f t="shared" si="24"/>
        <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row>
    <row r="26" spans="1:85" s="3" customFormat="1" ht="30" customHeight="1" thickBot="1" x14ac:dyDescent="0.3">
      <c r="A26" s="45"/>
      <c r="B26" s="62" t="s">
        <v>46</v>
      </c>
      <c r="C26" s="56"/>
      <c r="D26" s="23">
        <v>0</v>
      </c>
      <c r="E26" s="77">
        <f>E25</f>
        <v>45996</v>
      </c>
      <c r="F26" s="77">
        <f>E26+7</f>
        <v>46003</v>
      </c>
      <c r="G26" s="14"/>
      <c r="H26" s="14">
        <f t="shared" si="24"/>
        <v>8</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row>
    <row r="27" spans="1:85" s="3" customFormat="1" ht="30" customHeight="1" thickBot="1" x14ac:dyDescent="0.3">
      <c r="A27" s="45"/>
      <c r="B27" s="62" t="s">
        <v>47</v>
      </c>
      <c r="C27" s="56"/>
      <c r="D27" s="23">
        <v>0</v>
      </c>
      <c r="E27" s="77">
        <f>E25</f>
        <v>45996</v>
      </c>
      <c r="F27" s="77">
        <f>E27+14</f>
        <v>46010</v>
      </c>
      <c r="G27" s="14"/>
      <c r="H27" s="14">
        <f t="shared" si="24"/>
        <v>15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row>
    <row r="28" spans="1:85" s="3" customFormat="1" ht="30" customHeight="1" thickBot="1" x14ac:dyDescent="0.3">
      <c r="A28" s="45"/>
      <c r="B28" s="62" t="s">
        <v>48</v>
      </c>
      <c r="C28" s="56"/>
      <c r="D28" s="23">
        <v>0</v>
      </c>
      <c r="E28" s="77">
        <f>E25</f>
        <v>45996</v>
      </c>
      <c r="F28" s="77">
        <f>E28+14</f>
        <v>46010</v>
      </c>
      <c r="G28" s="14"/>
      <c r="H28" s="14">
        <f t="shared" si="24"/>
        <v>15</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row>
    <row r="29" spans="1:85" s="3" customFormat="1" ht="30" customHeight="1" thickBot="1" x14ac:dyDescent="0.3">
      <c r="A29" s="45"/>
      <c r="B29" s="62" t="s">
        <v>50</v>
      </c>
      <c r="C29" s="56"/>
      <c r="D29" s="23">
        <v>0</v>
      </c>
      <c r="E29" s="77">
        <f>F26</f>
        <v>46003</v>
      </c>
      <c r="F29" s="77">
        <f>E29+14</f>
        <v>46017</v>
      </c>
      <c r="G29" s="14"/>
      <c r="H29" s="14">
        <f t="shared" si="24"/>
        <v>15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row>
    <row r="30" spans="1:85" s="3" customFormat="1" ht="30" customHeight="1" thickBot="1" x14ac:dyDescent="0.3">
      <c r="A30" s="45"/>
      <c r="B30" s="62" t="s">
        <v>56</v>
      </c>
      <c r="C30" s="56"/>
      <c r="D30" s="23">
        <v>0</v>
      </c>
      <c r="E30" s="77">
        <f>F27</f>
        <v>46010</v>
      </c>
      <c r="F30" s="77">
        <f>E30+5</f>
        <v>46015</v>
      </c>
      <c r="G30" s="14"/>
      <c r="H30" s="14"/>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row>
    <row r="31" spans="1:85" s="3" customFormat="1" ht="30" customHeight="1" thickBot="1" x14ac:dyDescent="0.3">
      <c r="A31" s="45" t="s">
        <v>57</v>
      </c>
      <c r="B31" s="62" t="s">
        <v>58</v>
      </c>
      <c r="C31" s="56"/>
      <c r="D31" s="23">
        <v>0</v>
      </c>
      <c r="E31" s="77">
        <f>F30</f>
        <v>46015</v>
      </c>
      <c r="F31" s="77">
        <f>E31+3</f>
        <v>46018</v>
      </c>
      <c r="G31" s="14"/>
      <c r="H31" s="14"/>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row>
    <row r="32" spans="1:85" s="3" customFormat="1" ht="30" customHeight="1" thickBot="1" x14ac:dyDescent="0.3">
      <c r="A32" s="45"/>
      <c r="B32" s="62" t="s">
        <v>49</v>
      </c>
      <c r="C32" s="56"/>
      <c r="D32" s="23">
        <v>0</v>
      </c>
      <c r="E32" s="77">
        <f>F27</f>
        <v>46010</v>
      </c>
      <c r="F32" s="77">
        <f>E32+4</f>
        <v>46014</v>
      </c>
      <c r="G32" s="14"/>
      <c r="H32" s="14">
        <f t="shared" si="24"/>
        <v>5</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row>
    <row r="33" spans="1:85" s="3" customFormat="1" ht="30" customHeight="1" thickBot="1" x14ac:dyDescent="0.3">
      <c r="A33" s="45" t="s">
        <v>11</v>
      </c>
      <c r="B33" s="24" t="s">
        <v>72</v>
      </c>
      <c r="C33" s="57"/>
      <c r="D33" s="25"/>
      <c r="E33" s="78">
        <f>MAX(F26:F32)</f>
        <v>46018</v>
      </c>
      <c r="F33" s="79"/>
      <c r="G33" s="14"/>
      <c r="H33" s="14" t="str">
        <f t="shared" si="24"/>
        <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row>
    <row r="34" spans="1:85" s="3" customFormat="1" ht="30" customHeight="1" thickBot="1" x14ac:dyDescent="0.3">
      <c r="A34" s="45"/>
      <c r="B34" s="63" t="s">
        <v>51</v>
      </c>
      <c r="C34" s="58"/>
      <c r="D34" s="26">
        <v>0</v>
      </c>
      <c r="E34" s="80">
        <f>E33</f>
        <v>46018</v>
      </c>
      <c r="F34" s="80">
        <f>E34+7</f>
        <v>46025</v>
      </c>
      <c r="G34" s="14"/>
      <c r="H34" s="14">
        <f t="shared" si="24"/>
        <v>8</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row>
    <row r="35" spans="1:85" s="3" customFormat="1" ht="30" customHeight="1" thickBot="1" x14ac:dyDescent="0.3">
      <c r="A35" s="45"/>
      <c r="B35" s="63" t="s">
        <v>52</v>
      </c>
      <c r="C35" s="58"/>
      <c r="D35" s="26">
        <v>0</v>
      </c>
      <c r="E35" s="80">
        <f>E33</f>
        <v>46018</v>
      </c>
      <c r="F35" s="80">
        <f>E35+5</f>
        <v>46023</v>
      </c>
      <c r="G35" s="14"/>
      <c r="H35" s="14">
        <f t="shared" si="24"/>
        <v>6</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row>
    <row r="36" spans="1:85" s="3" customFormat="1" ht="30" customHeight="1" thickBot="1" x14ac:dyDescent="0.3">
      <c r="A36" s="45"/>
      <c r="B36" s="63" t="s">
        <v>59</v>
      </c>
      <c r="C36" s="58"/>
      <c r="D36" s="26">
        <v>0</v>
      </c>
      <c r="E36" s="80">
        <f>E34</f>
        <v>46018</v>
      </c>
      <c r="F36" s="80">
        <f>F34</f>
        <v>46025</v>
      </c>
      <c r="G36" s="14"/>
      <c r="H36" s="14">
        <f t="shared" si="24"/>
        <v>8</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row>
    <row r="37" spans="1:85" s="3" customFormat="1" ht="30" customHeight="1" thickBot="1" x14ac:dyDescent="0.3">
      <c r="A37" s="45"/>
      <c r="B37" s="63" t="s">
        <v>53</v>
      </c>
      <c r="C37" s="58"/>
      <c r="D37" s="26">
        <v>0</v>
      </c>
      <c r="E37" s="80">
        <f>E16</f>
        <v>45986</v>
      </c>
      <c r="F37" s="80">
        <f>E37+28</f>
        <v>46014</v>
      </c>
      <c r="G37" s="14"/>
      <c r="H37" s="14">
        <f t="shared" si="24"/>
        <v>29</v>
      </c>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row>
    <row r="38" spans="1:85" s="3" customFormat="1" ht="30" customHeight="1" thickBot="1" x14ac:dyDescent="0.3">
      <c r="A38" s="45"/>
      <c r="B38" s="63" t="s">
        <v>65</v>
      </c>
      <c r="C38" s="58"/>
      <c r="D38" s="26">
        <v>0</v>
      </c>
      <c r="E38" s="80">
        <f>E36</f>
        <v>46018</v>
      </c>
      <c r="F38" s="80">
        <f>F36-14</f>
        <v>46011</v>
      </c>
      <c r="G38" s="14"/>
      <c r="H38" s="14">
        <f t="shared" si="24"/>
        <v>-6</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row>
    <row r="39" spans="1:85" s="3" customFormat="1" ht="30" customHeight="1" thickBot="1" x14ac:dyDescent="0.3">
      <c r="A39" s="45"/>
      <c r="B39" s="63" t="s">
        <v>54</v>
      </c>
      <c r="C39" s="58"/>
      <c r="D39" s="26">
        <v>0</v>
      </c>
      <c r="E39" s="80">
        <f>DATE(2026,1,6)-14</f>
        <v>46014</v>
      </c>
      <c r="F39" s="80">
        <f>DATE(2026,1,5)</f>
        <v>46027</v>
      </c>
      <c r="G39" s="14"/>
      <c r="H39" s="14"/>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row>
    <row r="40" spans="1:85" s="3" customFormat="1" ht="30" customHeight="1" thickBot="1" x14ac:dyDescent="0.3">
      <c r="A40" s="45"/>
      <c r="B40" s="63" t="s">
        <v>39</v>
      </c>
      <c r="C40" s="58"/>
      <c r="D40" s="26">
        <v>0</v>
      </c>
      <c r="E40" s="80">
        <f>DATE(2026,1,6)</f>
        <v>46028</v>
      </c>
      <c r="F40" s="80">
        <f>E40</f>
        <v>46028</v>
      </c>
      <c r="G40" s="14"/>
      <c r="H40" s="14"/>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row>
    <row r="41" spans="1:85" s="3" customFormat="1" ht="30" customHeight="1" thickBot="1" x14ac:dyDescent="0.3">
      <c r="A41" s="45" t="s">
        <v>12</v>
      </c>
      <c r="B41" s="64"/>
      <c r="C41" s="59"/>
      <c r="D41" s="13"/>
      <c r="E41" s="81"/>
      <c r="F41" s="81"/>
      <c r="G41" s="14"/>
      <c r="H41" s="14" t="str">
        <f t="shared" si="24"/>
        <v/>
      </c>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row>
    <row r="42" spans="1:85" s="3" customFormat="1" ht="30" customHeight="1" thickBot="1" x14ac:dyDescent="0.3">
      <c r="A42" s="46" t="s">
        <v>13</v>
      </c>
      <c r="B42" s="27" t="s">
        <v>16</v>
      </c>
      <c r="C42" s="28"/>
      <c r="D42" s="29"/>
      <c r="E42" s="82"/>
      <c r="F42" s="83"/>
      <c r="G42" s="30"/>
      <c r="H42" s="30" t="str">
        <f t="shared" si="24"/>
        <v/>
      </c>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row>
    <row r="43" spans="1:85" ht="30" customHeight="1" x14ac:dyDescent="0.25">
      <c r="G43" s="6"/>
    </row>
    <row r="44" spans="1:85" ht="30" customHeight="1" x14ac:dyDescent="0.25">
      <c r="C44" s="11"/>
      <c r="F44" s="47"/>
    </row>
    <row r="45" spans="1:85" ht="30" customHeight="1" x14ac:dyDescent="0.25">
      <c r="C45" s="12"/>
    </row>
  </sheetData>
  <mergeCells count="14">
    <mergeCell ref="BM4:BS4"/>
    <mergeCell ref="BT4:BZ4"/>
    <mergeCell ref="CA4:CG4"/>
    <mergeCell ref="C3:D3"/>
    <mergeCell ref="C4:D4"/>
    <mergeCell ref="AK4:AQ4"/>
    <mergeCell ref="AR4:AX4"/>
    <mergeCell ref="AY4:BE4"/>
    <mergeCell ref="BF4:BL4"/>
    <mergeCell ref="E3:F3"/>
    <mergeCell ref="I4:O4"/>
    <mergeCell ref="P4:V4"/>
    <mergeCell ref="W4:AC4"/>
    <mergeCell ref="AD4:AJ4"/>
  </mergeCells>
  <conditionalFormatting sqref="D7:D4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 I8:CG42 BM5:CG6">
    <cfRule type="expression" dxfId="2" priority="33">
      <formula>AND(TODAY()&gt;=I$5,TODAY()&lt;J$5)</formula>
    </cfRule>
  </conditionalFormatting>
  <conditionalFormatting sqref="I7:BL7 I8:CG42">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24</v>
      </c>
      <c r="B2" s="36"/>
    </row>
    <row r="3" spans="1:2" s="41" customFormat="1" ht="27" customHeight="1" x14ac:dyDescent="0.25">
      <c r="A3" s="68" t="s">
        <v>25</v>
      </c>
      <c r="B3" s="42"/>
    </row>
    <row r="4" spans="1:2" s="38" customFormat="1" ht="26.25" x14ac:dyDescent="0.4">
      <c r="A4" s="39" t="s">
        <v>26</v>
      </c>
    </row>
    <row r="5" spans="1:2" ht="74.099999999999994" customHeight="1" x14ac:dyDescent="0.2">
      <c r="A5" s="40" t="s">
        <v>27</v>
      </c>
    </row>
    <row r="6" spans="1:2" ht="26.25" customHeight="1" x14ac:dyDescent="0.2">
      <c r="A6" s="39" t="s">
        <v>28</v>
      </c>
    </row>
    <row r="7" spans="1:2" s="35" customFormat="1" ht="204.95" customHeight="1" x14ac:dyDescent="0.25">
      <c r="A7" s="44" t="s">
        <v>29</v>
      </c>
    </row>
    <row r="8" spans="1:2" s="38" customFormat="1" ht="26.25" x14ac:dyDescent="0.4">
      <c r="A8" s="39" t="s">
        <v>30</v>
      </c>
    </row>
    <row r="9" spans="1:2" ht="60" x14ac:dyDescent="0.2">
      <c r="A9" s="40" t="s">
        <v>31</v>
      </c>
    </row>
    <row r="10" spans="1:2" s="35" customFormat="1" ht="27.95" customHeight="1" x14ac:dyDescent="0.25">
      <c r="A10" s="43" t="s">
        <v>32</v>
      </c>
    </row>
    <row r="11" spans="1:2" s="38" customFormat="1" ht="26.25" x14ac:dyDescent="0.4">
      <c r="A11" s="39" t="s">
        <v>33</v>
      </c>
    </row>
    <row r="12" spans="1:2" ht="30" x14ac:dyDescent="0.2">
      <c r="A12" s="40" t="s">
        <v>34</v>
      </c>
    </row>
    <row r="13" spans="1:2" s="35" customFormat="1" ht="27.95" customHeight="1" x14ac:dyDescent="0.25">
      <c r="A13" s="43" t="s">
        <v>35</v>
      </c>
    </row>
    <row r="14" spans="1:2" s="38" customFormat="1" ht="26.25" x14ac:dyDescent="0.4">
      <c r="A14" s="39" t="s">
        <v>36</v>
      </c>
    </row>
    <row r="15" spans="1:2" ht="75" customHeight="1" x14ac:dyDescent="0.2">
      <c r="A15" s="40" t="s">
        <v>37</v>
      </c>
    </row>
    <row r="16" spans="1:2" ht="75" x14ac:dyDescent="0.2">
      <c r="A16" s="40" t="s">
        <v>38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2025-11-22T16:47:49Z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