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codeName="ThisWorkbook"/>
  <xr:revisionPtr revIDLastSave="0" documentId="13_ncr:1_{D9B31E92-CBD6-4DE1-9D85-1E59B48A33BA}" xr6:coauthVersionLast="47" xr6:coauthVersionMax="47" xr10:uidLastSave="{00000000-0000-0000-0000-000000000000}"/>
  <bookViews>
    <workbookView xWindow="-120" yWindow="-120" windowWidth="38640" windowHeight="21120" xr2:uid="{00000000-000D-0000-FFFF-FFFF00000000}"/>
  </bookViews>
  <sheets>
    <sheet name="ProjectSchedule" sheetId="11" r:id="rId1"/>
    <sheet name="About" sheetId="12" r:id="rId2"/>
  </sheets>
  <definedNames>
    <definedName name="Display_Week">ProjectSchedule!$E$4</definedName>
    <definedName name="_xlnm.Print_Titles" localSheetId="0">ProjectSchedule!$4:$6</definedName>
    <definedName name="Project_Start">ProjectSchedule!$E$3</definedName>
    <definedName name="task_end" localSheetId="0">ProjectSchedule!$F1</definedName>
    <definedName name="task_progress" localSheetId="0">ProjectSchedule!$D1</definedName>
    <definedName name="task_start" localSheetId="0">ProjectSchedule!$E1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39" i="11" l="1"/>
  <c r="F38" i="11"/>
  <c r="E38" i="11"/>
  <c r="H16" i="11"/>
  <c r="H17" i="11"/>
  <c r="H18" i="11"/>
  <c r="H19" i="11"/>
  <c r="H20" i="11"/>
  <c r="H21" i="11"/>
  <c r="H22" i="11"/>
  <c r="H23" i="11"/>
  <c r="H24" i="11"/>
  <c r="H25" i="11"/>
  <c r="H26" i="11"/>
  <c r="H27" i="11"/>
  <c r="H28" i="11"/>
  <c r="H29" i="11"/>
  <c r="H30" i="11"/>
  <c r="H31" i="11"/>
  <c r="H32" i="11"/>
  <c r="H33" i="11"/>
  <c r="H34" i="11"/>
  <c r="H35" i="11"/>
  <c r="H36" i="11"/>
  <c r="H37" i="11"/>
  <c r="H38" i="11"/>
  <c r="H39" i="11"/>
  <c r="H40" i="11"/>
  <c r="H10" i="11"/>
  <c r="H11" i="11"/>
  <c r="H12" i="11"/>
  <c r="H13" i="11"/>
  <c r="H14" i="11"/>
  <c r="H15" i="11"/>
  <c r="F34" i="11"/>
  <c r="E34" i="11"/>
  <c r="F39" i="11"/>
  <c r="F37" i="11"/>
  <c r="E37" i="11"/>
  <c r="E36" i="11"/>
  <c r="F35" i="11"/>
  <c r="E35" i="11"/>
  <c r="F36" i="11"/>
  <c r="E33" i="11"/>
  <c r="F32" i="11"/>
  <c r="E32" i="11"/>
  <c r="F31" i="11"/>
  <c r="E31" i="11"/>
  <c r="F30" i="11"/>
  <c r="E30" i="11"/>
  <c r="F29" i="11"/>
  <c r="E29" i="11"/>
  <c r="F28" i="11"/>
  <c r="E28" i="11"/>
  <c r="F27" i="11"/>
  <c r="E27" i="11"/>
  <c r="F26" i="11"/>
  <c r="E26" i="11"/>
  <c r="F19" i="11"/>
  <c r="E40" i="11"/>
  <c r="F40" i="11" s="1"/>
  <c r="E3" i="11"/>
  <c r="E13" i="11" s="1"/>
  <c r="H7" i="11"/>
  <c r="F13" i="11" l="1"/>
  <c r="E15" i="11" s="1"/>
  <c r="F15" i="11" s="1"/>
  <c r="E9" i="11"/>
  <c r="F9" i="11" s="1"/>
  <c r="E11" i="11" s="1"/>
  <c r="F11" i="11" s="1"/>
  <c r="E12" i="11" s="1"/>
  <c r="F12" i="11" s="1"/>
  <c r="E10" i="11" l="1"/>
  <c r="F10" i="11" s="1"/>
  <c r="E16" i="11" s="1"/>
  <c r="E14" i="11"/>
  <c r="F14" i="11" s="1"/>
  <c r="I5" i="11"/>
  <c r="H42" i="11"/>
  <c r="H41" i="11"/>
  <c r="H8" i="11"/>
  <c r="E18" i="11" l="1"/>
  <c r="F18" i="11" s="1"/>
  <c r="E17" i="11"/>
  <c r="F17" i="11" s="1"/>
  <c r="E22" i="11"/>
  <c r="F22" i="11" s="1"/>
  <c r="H9" i="11"/>
  <c r="I6" i="11"/>
  <c r="E24" i="11" l="1"/>
  <c r="F24" i="11" s="1"/>
  <c r="E23" i="11"/>
  <c r="F23" i="11" s="1"/>
  <c r="E19" i="11"/>
  <c r="E20" i="11"/>
  <c r="F20" i="11" s="1"/>
  <c r="E21" i="11"/>
  <c r="F21" i="11" s="1"/>
  <c r="J5" i="11"/>
  <c r="K5" i="11" s="1"/>
  <c r="L5" i="11" s="1"/>
  <c r="M5" i="11" s="1"/>
  <c r="N5" i="11" s="1"/>
  <c r="O5" i="11" s="1"/>
  <c r="P5" i="11" s="1"/>
  <c r="I4" i="11"/>
  <c r="E25" i="11" l="1"/>
  <c r="P4" i="11"/>
  <c r="Q5" i="11"/>
  <c r="R5" i="11" s="1"/>
  <c r="S5" i="11" s="1"/>
  <c r="T5" i="11" s="1"/>
  <c r="U5" i="11" s="1"/>
  <c r="V5" i="11" s="1"/>
  <c r="W5" i="11" s="1"/>
  <c r="J6" i="11"/>
  <c r="W4" i="11" l="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M5" i="11" s="1"/>
  <c r="BK6" i="11"/>
  <c r="AF6" i="11"/>
  <c r="BM4" i="11" l="1"/>
  <c r="BN5" i="11"/>
  <c r="BM6" i="11"/>
  <c r="BL6" i="11"/>
  <c r="AG6" i="11"/>
  <c r="BO5" i="11" l="1"/>
  <c r="BN6" i="11"/>
  <c r="AH6" i="11"/>
  <c r="BO6" i="11" l="1"/>
  <c r="BP5" i="11"/>
  <c r="AI6" i="11"/>
  <c r="BP6" i="11" l="1"/>
  <c r="BQ5" i="11"/>
  <c r="AJ6" i="11"/>
  <c r="BQ6" i="11" l="1"/>
  <c r="BR5" i="11"/>
  <c r="AK6" i="11"/>
  <c r="BR6" i="11" l="1"/>
  <c r="BS5" i="11"/>
  <c r="AL6" i="11"/>
  <c r="BS6" i="11" l="1"/>
  <c r="BT5" i="11"/>
  <c r="AM6" i="11"/>
  <c r="BT4" i="11" l="1"/>
  <c r="BU5" i="11"/>
  <c r="BT6" i="11"/>
  <c r="AN6" i="11"/>
  <c r="BU6" i="11" l="1"/>
  <c r="BV5" i="11"/>
  <c r="AO6" i="11"/>
  <c r="BW5" i="11" l="1"/>
  <c r="BV6" i="11"/>
  <c r="AP6" i="11"/>
  <c r="BW6" i="11" l="1"/>
  <c r="BX5" i="11"/>
  <c r="AQ6" i="11"/>
  <c r="BX6" i="11" l="1"/>
  <c r="BY5" i="11"/>
  <c r="AR6" i="11"/>
  <c r="BY6" i="11" l="1"/>
  <c r="BZ5" i="11"/>
  <c r="BZ6" i="11" l="1"/>
  <c r="CA5" i="11"/>
  <c r="CA4" i="11" l="1"/>
  <c r="CB5" i="11"/>
  <c r="CA6" i="11"/>
  <c r="CC5" i="11" l="1"/>
  <c r="CB6" i="11"/>
  <c r="CD5" i="11" l="1"/>
  <c r="CC6" i="11"/>
  <c r="CE5" i="11" l="1"/>
  <c r="CD6" i="11"/>
  <c r="CE6" i="11" l="1"/>
  <c r="CF5" i="11"/>
  <c r="CF6" i="11" l="1"/>
  <c r="CG5" i="11"/>
  <c r="CG6" i="11" s="1"/>
</calcChain>
</file>

<file path=xl/sharedStrings.xml><?xml version="1.0" encoding="utf-8"?>
<sst xmlns="http://schemas.openxmlformats.org/spreadsheetml/2006/main" count="90" uniqueCount="83">
  <si>
    <t>Create a Project Schedule in this worksheet.
Enter title of this project in cell B1. 
Information about how to use this worksheet, including instructions for screen readers and the author of this workbook is in the About worksheet.
Continue navigating down column A to hear further instructions.</t>
  </si>
  <si>
    <t>Enter Company Name in cell B2.</t>
  </si>
  <si>
    <t>Enter the name of the Project Lead in cell B3. Enter the Project Start date in cell E3. Pooject Start: label is in cell C3.</t>
  </si>
  <si>
    <t>The Display Week in cell E4  represents the starting week to display in the project schedule in cell I4. The project start date is considered Week 1. To change the display week, simply enter a new week number in cell E4.
The starting date for each week, starting with the display week from cell E4, starts in cell I4 and is auto calculated. There are 8 weeks represented in this view from cell I4 through cell BF4.
You should not modify these cells.
Display Week: label is in cell C4.</t>
  </si>
  <si>
    <t>Cells I5 through BL5 contain the day number for the week represented in the cell block above each date cell and are auto calculated.
You should not modify these cells.
Today's date is outlined in Red (hex #AD3815) from today's date in row 5 through the entire date column to the end of the project schedule.</t>
  </si>
  <si>
    <t>This row contains headers for the project schedule that follows below them. 
Navigate from B6 through BL 6 to hear the content. The first letter of each day of the week for the date above that heading, starts in cell I6 and continues through cell BL6.
All project timeline charting is auto generated based on the start and end dates entered, using conditional formats.
Do not modify content in cells within columns after column I starting with cell I7.</t>
  </si>
  <si>
    <t xml:space="preserve">Do not delete this row. This row is hidden to preserve a formula that is used to highlight the curren day within the project schedule. </t>
  </si>
  <si>
    <t>Cell B8 contains the Phase 1 sample title. 
Enter a new Title in cell B8.
Enter a name to assign the phase to, if it applies for your project, in cell C8.
Enter Progress for the entire phase, if it applies for your project, in cell D8.
Enter the start and end dates for the entire phase, if it applies for your project, in cells E8 and F8. 
The Gantt chart will automatically fill in the appropriate dates and shade according to the progress entered.
To delete the phase and work only from tasks, simply delete this row.</t>
  </si>
  <si>
    <t xml:space="preserve">Cell B9 contains the sample task "Task 1." 
Enter a new task name in cell B9.
Enter a person to assign the task to in cell C9.
Enter progres of the task in cell D9. A progress bar appears in the cell and is shaded according to the number in the cell. For example, 50 percent progress would shade half of the cell.
Enter task start date in cell E9.
Enter task end date in cell F9.
A status bar shaded for the dates entered appears in blocks starting from cell I9 through BL9. </t>
  </si>
  <si>
    <t>Rows 10 through 13 repeat the pattern from row 9. 
Repeat the instructions from cell A9 for all task rows in this worksheet. Overwrite any sample data.
A sample of another phase starts in cell A14. 
Continue entering tasks in cells A10 through A13 or go to cell A14 to learn more.</t>
  </si>
  <si>
    <t>The cell at right contains the Phase 2 sample title. 
You can create a new phase at any time within column B. This project schedule does not require phases. To remove the phase, simply delete the row.
To create a new phase block in this row, enter a new Title in cell at right.
To continue adding tasks to the phase above, enter a new row above this one and fill in the task data as in cell A9's instruction.
Update the Phase details in cell at right based on cell A8's instruction.
Continue navigating down column A cells to learn more.
If you haven't added any new rows in this worksheet, you will find 2 additional sample phase blocks have been created for you in cells B20 and B26. Otherwise, navigate through column A cells to find the additional blocks. 
Repeat the instructions from cells A8 and A9 whenever you need to.</t>
  </si>
  <si>
    <t>Sample phase title block</t>
  </si>
  <si>
    <t>This is an empty row</t>
  </si>
  <si>
    <t>This row marks the end of the Project Schedule. DO NOT enter anything in this row. 
Insert new rows ABOVE this one to continue building out your Project Schedule.</t>
  </si>
  <si>
    <t>Project Lead</t>
  </si>
  <si>
    <t>TASK</t>
  </si>
  <si>
    <t>Insert new rows ABOVE this one</t>
  </si>
  <si>
    <t>Project Start:</t>
  </si>
  <si>
    <t>Display Week:</t>
  </si>
  <si>
    <t>ASSIGNED
TO</t>
  </si>
  <si>
    <t>PROGRESS</t>
  </si>
  <si>
    <t>START</t>
  </si>
  <si>
    <t>END</t>
  </si>
  <si>
    <t>DAYS</t>
  </si>
  <si>
    <t>SIMPLE GANTT CHART by Vertex42.com</t>
  </si>
  <si>
    <t>https://www.vertex42.com/ExcelTemplates/simple-gantt-chart.html</t>
  </si>
  <si>
    <t>About This Template</t>
  </si>
  <si>
    <t>This template provides a simple way to create a Gantt chart to help visualise and track your project. Simply enter your tasks and start and end dates - no formulae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</si>
  <si>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</si>
  <si>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</si>
  <si>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</si>
  <si>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colours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</si>
  <si>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</si>
  <si>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</si>
  <si>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</si>
  <si>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</si>
  <si>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</si>
  <si>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amortisation.</t>
  </si>
  <si>
    <t>Businesses will find invoices, time sheets, inventory trackers, financial statements, and project planning templates. Teachers and students will find resources such as class schedules, grade books, and attendance sheets. Organise your family life with meal planners, checklists, and exercise logs. Each template is thoroughly researched, refined, and improved over time through feedback from thousands of users.</t>
  </si>
  <si>
    <t>Submission Deadline</t>
  </si>
  <si>
    <t>Dungeon-Crawler</t>
  </si>
  <si>
    <t>Dungeon Crawlers</t>
  </si>
  <si>
    <t>Complete Chart</t>
  </si>
  <si>
    <t>Create Flowchart</t>
  </si>
  <si>
    <t>Create main.py</t>
  </si>
  <si>
    <t>Pseudocode</t>
  </si>
  <si>
    <t>Random room selection</t>
  </si>
  <si>
    <t>Random encounters</t>
  </si>
  <si>
    <t>Inventory</t>
  </si>
  <si>
    <t>Items</t>
  </si>
  <si>
    <t>Treasure/ Loot</t>
  </si>
  <si>
    <t>Test code</t>
  </si>
  <si>
    <t>Unit test</t>
  </si>
  <si>
    <t>Reflect on new ideas</t>
  </si>
  <si>
    <t>Report</t>
  </si>
  <si>
    <t>Create CPA (Critical Path Analysis)</t>
  </si>
  <si>
    <t>Game Over Screen ( Hp systerm)</t>
  </si>
  <si>
    <t>Scoreboard</t>
  </si>
  <si>
    <t>Scoreboard ( Enemy kills) - disucss</t>
  </si>
  <si>
    <t xml:space="preserve">Debugging </t>
  </si>
  <si>
    <t>Alex</t>
  </si>
  <si>
    <t>Assign Tasks</t>
  </si>
  <si>
    <t>Shared</t>
  </si>
  <si>
    <t>Logan</t>
  </si>
  <si>
    <t>Zahari</t>
  </si>
  <si>
    <t>Optimise code</t>
  </si>
  <si>
    <t>Research JSON</t>
  </si>
  <si>
    <t>Research Random Networks</t>
  </si>
  <si>
    <t>Create JSON File</t>
  </si>
  <si>
    <t>Set-Up Phase</t>
  </si>
  <si>
    <t>Planning Phase</t>
  </si>
  <si>
    <t>Programming Phase</t>
  </si>
  <si>
    <t>Implementation and Testing</t>
  </si>
  <si>
    <t>Design of Rooms</t>
  </si>
  <si>
    <t>Design of Entities</t>
  </si>
  <si>
    <t>Shared over meeting</t>
  </si>
  <si>
    <t>Create Entity class</t>
  </si>
  <si>
    <t>Create Player class</t>
  </si>
  <si>
    <t>Alex (can change)</t>
  </si>
  <si>
    <t>Create Dependancy Table</t>
  </si>
  <si>
    <t>Logan and Alex</t>
  </si>
  <si>
    <t>File Structure and programming branch</t>
  </si>
  <si>
    <t>Sophia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</si>
</sst>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quot;* #,##0_-;\-&quot;£&quot;* #,##0_-;_-&quot;£&quot;* &quot;-&quot;_-;_-@_-"/>
    <numFmt numFmtId="44" formatCode="_-&quot;£&quot;* #,##0.00_-;\-&quot;£&quot;* #,##0.00_-;_-&quot;£&quot;* &quot;-&quot;??_-;_-@_-"/>
    <numFmt numFmtId="164" formatCode="_(* #,##0_);_(* \(#,##0\);_(* &quot;-&quot;_);_(@_)"/>
    <numFmt numFmtId="165" formatCode="_(* #,##0.00_);_(* \(#,##0.00\);_(* &quot;-&quot;??_);_(@_)"/>
    <numFmt numFmtId="166" formatCode="ddd\,\ dd/mm/yyyy"/>
    <numFmt numFmtId="167" formatCode="d/m/yy;@"/>
    <numFmt numFmtId="168" formatCode="d"/>
    <numFmt numFmtId="169" formatCode="d\ mmm\ yyyy"/>
  </numFmts>
  <fonts count="38"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0"/>
      <color theme="1"/>
      <name val="Calibri"/>
      <family val="2"/>
      <scheme val="minor"/>
    </font>
  </fonts>
  <fills count="4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22" fillId="0" borderId="0"/>
    <xf numFmtId="165"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6" fontId="9" fillId="0" borderId="3">
      <alignment horizontal="center" vertical="center"/>
    </xf>
    <xf numFmtId="167"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25"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26" fillId="0" borderId="0" applyNumberFormat="0" applyFill="0" applyBorder="0" applyAlignment="0" applyProtection="0"/>
    <xf numFmtId="0" fontId="27" fillId="14" borderId="0" applyNumberFormat="0" applyBorder="0" applyAlignment="0" applyProtection="0"/>
    <xf numFmtId="0" fontId="28" fillId="15" borderId="0" applyNumberFormat="0" applyBorder="0" applyAlignment="0" applyProtection="0"/>
    <xf numFmtId="0" fontId="29" fillId="16" borderId="0" applyNumberFormat="0" applyBorder="0" applyAlignment="0" applyProtection="0"/>
    <xf numFmtId="0" fontId="30" fillId="17" borderId="11" applyNumberFormat="0" applyAlignment="0" applyProtection="0"/>
    <xf numFmtId="0" fontId="31" fillId="18" borderId="12" applyNumberFormat="0" applyAlignment="0" applyProtection="0"/>
    <xf numFmtId="0" fontId="32" fillId="18" borderId="11" applyNumberFormat="0" applyAlignment="0" applyProtection="0"/>
    <xf numFmtId="0" fontId="33" fillId="0" borderId="13" applyNumberFormat="0" applyFill="0" applyAlignment="0" applyProtection="0"/>
    <xf numFmtId="0" fontId="34" fillId="19" borderId="14" applyNumberFormat="0" applyAlignment="0" applyProtection="0"/>
    <xf numFmtId="0" fontId="35" fillId="0" borderId="0" applyNumberFormat="0" applyFill="0" applyBorder="0" applyAlignment="0" applyProtection="0"/>
    <xf numFmtId="0" fontId="9" fillId="20" borderId="15" applyNumberFormat="0" applyFont="0" applyAlignment="0" applyProtection="0"/>
    <xf numFmtId="0" fontId="36" fillId="0" borderId="0" applyNumberFormat="0" applyFill="0" applyBorder="0" applyAlignment="0" applyProtection="0"/>
    <xf numFmtId="0" fontId="6" fillId="0" borderId="16" applyNumberFormat="0" applyFill="0" applyAlignment="0" applyProtection="0"/>
    <xf numFmtId="0" fontId="22"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22"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22"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22"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22"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22"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cellStyleXfs>
  <cellXfs count="97">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2" fillId="12"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10"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2" fillId="0" borderId="0" xfId="0" applyFont="1" applyAlignment="1">
      <alignment vertical="top"/>
    </xf>
    <xf numFmtId="0" fontId="16" fillId="0" borderId="0" xfId="0" applyFont="1" applyAlignment="1">
      <alignment horizontal="left" vertical="center"/>
    </xf>
    <xf numFmtId="0" fontId="17" fillId="0" borderId="0" xfId="0" applyFont="1" applyAlignment="1">
      <alignment horizontal="left" vertical="center"/>
    </xf>
    <xf numFmtId="0" fontId="19" fillId="0" borderId="0" xfId="0" applyFont="1"/>
    <xf numFmtId="0" fontId="21" fillId="0" borderId="0" xfId="0" applyFont="1" applyAlignment="1">
      <alignment vertical="center"/>
    </xf>
    <xf numFmtId="0" fontId="20" fillId="0" borderId="0" xfId="0" applyFont="1" applyAlignment="1">
      <alignment horizontal="left" vertical="top" wrapText="1" indent="1"/>
    </xf>
    <xf numFmtId="0" fontId="2" fillId="0" borderId="0" xfId="0" applyFont="1" applyAlignment="1">
      <alignment horizontal="left" vertical="top"/>
    </xf>
    <xf numFmtId="0" fontId="18"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2" fillId="0" borderId="0" xfId="3"/>
    <xf numFmtId="0" fontId="22" fillId="0" borderId="0" xfId="3" applyAlignment="1">
      <alignment wrapText="1"/>
    </xf>
    <xf numFmtId="0" fontId="22" fillId="0" borderId="0" xfId="0" applyFont="1" applyAlignment="1">
      <alignment horizontal="center"/>
    </xf>
    <xf numFmtId="0" fontId="0" fillId="0" borderId="0" xfId="0" applyAlignment="1">
      <alignment wrapText="1"/>
    </xf>
    <xf numFmtId="0" fontId="13" fillId="0" borderId="0" xfId="5" applyAlignment="1">
      <alignment horizontal="left"/>
    </xf>
    <xf numFmtId="0" fontId="10" fillId="0" borderId="0" xfId="6"/>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5" borderId="2" xfId="11" applyFill="1">
      <alignment horizontal="center" vertical="center"/>
    </xf>
    <xf numFmtId="0" fontId="9" fillId="10"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0" fillId="0" borderId="10" xfId="0" applyBorder="1"/>
    <xf numFmtId="0" fontId="23" fillId="0" borderId="0" xfId="0" applyFont="1"/>
    <xf numFmtId="0" fontId="24" fillId="0" borderId="0" xfId="1" applyFont="1" applyProtection="1">
      <alignment vertical="top"/>
    </xf>
    <xf numFmtId="0" fontId="5" fillId="0" borderId="0" xfId="0" applyFont="1" applyAlignment="1">
      <alignment vertical="top"/>
    </xf>
    <xf numFmtId="167" fontId="0" fillId="8" borderId="2" xfId="0" applyNumberFormat="1" applyFill="1" applyBorder="1" applyAlignment="1">
      <alignment horizontal="center" vertical="center"/>
    </xf>
    <xf numFmtId="167" fontId="5" fillId="8" borderId="2" xfId="0" applyNumberFormat="1" applyFont="1" applyFill="1" applyBorder="1" applyAlignment="1">
      <alignment horizontal="center" vertical="center"/>
    </xf>
    <xf numFmtId="167" fontId="9" fillId="3" borderId="2" xfId="10" applyFill="1">
      <alignment horizontal="center" vertical="center"/>
    </xf>
    <xf numFmtId="167" fontId="0" fillId="9" borderId="2" xfId="0" applyNumberFormat="1" applyFill="1" applyBorder="1" applyAlignment="1">
      <alignment horizontal="center" vertical="center"/>
    </xf>
    <xf numFmtId="167" fontId="5" fillId="9" borderId="2" xfId="0" applyNumberFormat="1" applyFont="1" applyFill="1" applyBorder="1" applyAlignment="1">
      <alignment horizontal="center" vertical="center"/>
    </xf>
    <xf numFmtId="167" fontId="9" fillId="4" borderId="2" xfId="10" applyFill="1">
      <alignment horizontal="center" vertical="center"/>
    </xf>
    <xf numFmtId="167" fontId="0" fillId="6" borderId="2" xfId="0" applyNumberFormat="1" applyFill="1" applyBorder="1" applyAlignment="1">
      <alignment horizontal="center" vertical="center"/>
    </xf>
    <xf numFmtId="167" fontId="5" fillId="6" borderId="2" xfId="0" applyNumberFormat="1" applyFont="1" applyFill="1" applyBorder="1" applyAlignment="1">
      <alignment horizontal="center" vertical="center"/>
    </xf>
    <xf numFmtId="167" fontId="9" fillId="11" borderId="2" xfId="10" applyFill="1">
      <alignment horizontal="center" vertical="center"/>
    </xf>
    <xf numFmtId="167" fontId="0" fillId="5" borderId="2" xfId="0" applyNumberFormat="1" applyFill="1" applyBorder="1" applyAlignment="1">
      <alignment horizontal="center" vertical="center"/>
    </xf>
    <xf numFmtId="167" fontId="5" fillId="5" borderId="2" xfId="0" applyNumberFormat="1" applyFont="1" applyFill="1" applyBorder="1" applyAlignment="1">
      <alignment horizontal="center" vertical="center"/>
    </xf>
    <xf numFmtId="167" fontId="9" fillId="10" borderId="2" xfId="10" applyFill="1">
      <alignment horizontal="center" vertical="center"/>
    </xf>
    <xf numFmtId="167" fontId="9" fillId="0" borderId="2" xfId="10">
      <alignment horizontal="center" vertical="center"/>
    </xf>
    <xf numFmtId="167" fontId="4" fillId="2" borderId="2" xfId="0" applyNumberFormat="1" applyFont="1" applyFill="1" applyBorder="1" applyAlignment="1">
      <alignment horizontal="left" vertical="center"/>
    </xf>
    <xf numFmtId="167" fontId="5" fillId="2" borderId="2" xfId="0" applyNumberFormat="1" applyFont="1" applyFill="1" applyBorder="1" applyAlignment="1">
      <alignment horizontal="center" vertical="center"/>
    </xf>
    <xf numFmtId="168" fontId="11" fillId="7" borderId="6" xfId="0" applyNumberFormat="1" applyFont="1" applyFill="1" applyBorder="1" applyAlignment="1">
      <alignment horizontal="center" vertical="center"/>
    </xf>
    <xf numFmtId="168" fontId="11" fillId="7" borderId="0" xfId="0" applyNumberFormat="1" applyFont="1" applyFill="1" applyAlignment="1">
      <alignment horizontal="center" vertical="center"/>
    </xf>
    <xf numFmtId="168" fontId="11" fillId="7" borderId="7" xfId="0" applyNumberFormat="1" applyFont="1" applyFill="1" applyBorder="1" applyAlignment="1">
      <alignment horizontal="center" vertical="center"/>
    </xf>
    <xf numFmtId="0" fontId="10" fillId="0" borderId="0" xfId="7" applyAlignment="1">
      <alignment vertical="top" wrapText="1"/>
    </xf>
    <xf numFmtId="0" fontId="9" fillId="3" borderId="2" xfId="12" applyFill="1" applyAlignment="1">
      <alignment horizontal="left" vertical="center" wrapText="1" indent="2"/>
    </xf>
    <xf numFmtId="0" fontId="37" fillId="3" borderId="2" xfId="12" applyFont="1" applyFill="1" applyAlignment="1">
      <alignment horizontal="left" vertical="center" wrapText="1" indent="2"/>
    </xf>
    <xf numFmtId="0" fontId="9" fillId="4" borderId="2" xfId="12" applyFill="1" applyAlignment="1">
      <alignment horizontal="left" vertical="center" wrapText="1" indent="2"/>
    </xf>
    <xf numFmtId="169" fontId="0" fillId="7" borderId="4" xfId="0" applyNumberFormat="1" applyFill="1" applyBorder="1" applyAlignment="1">
      <alignment horizontal="left" vertical="center" wrapText="1" indent="1"/>
    </xf>
    <xf numFmtId="169" fontId="0" fillId="7" borderId="1" xfId="0" applyNumberFormat="1" applyFill="1" applyBorder="1" applyAlignment="1">
      <alignment horizontal="left" vertical="center" wrapText="1" indent="1"/>
    </xf>
    <xf numFmtId="169" fontId="0" fillId="7" borderId="5" xfId="0" applyNumberFormat="1" applyFill="1" applyBorder="1" applyAlignment="1">
      <alignment horizontal="left" vertical="center" wrapText="1" indent="1"/>
    </xf>
    <xf numFmtId="0" fontId="9" fillId="0" borderId="0" xfId="8">
      <alignment horizontal="right" indent="1"/>
    </xf>
    <xf numFmtId="0" fontId="9" fillId="0" borderId="7" xfId="8" applyBorder="1">
      <alignment horizontal="right" indent="1"/>
    </xf>
    <xf numFmtId="166" fontId="9" fillId="0" borderId="3" xfId="9">
      <alignment horizontal="center" vertical="center"/>
    </xf>
  </cellXfs>
  <cellStyles count="54">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Bad" xfId="19" builtinId="27" customBuiltin="1"/>
    <cellStyle name="Calculation" xfId="23" builtinId="22" customBuiltin="1"/>
    <cellStyle name="Check Cell" xfId="25" builtinId="23" customBuiltin="1"/>
    <cellStyle name="Comma" xfId="4" builtinId="3" customBuiltin="1"/>
    <cellStyle name="Comma [0]" xfId="14" builtinId="6" customBuiltin="1"/>
    <cellStyle name="Currency" xfId="15" builtinId="4" customBuiltin="1"/>
    <cellStyle name="Currency [0]" xfId="16" builtinId="7" customBuiltin="1"/>
    <cellStyle name="Date" xfId="10" xr:uid="{229918B6-DD13-4F5A-97B9-305F7E002AA3}"/>
    <cellStyle name="Explanatory Text" xfId="28" builtinId="53" customBuiltin="1"/>
    <cellStyle name="Followed Hyperlink" xfId="13" builtinId="9" customBuiltin="1"/>
    <cellStyle name="Good" xfId="18" builtinId="26" customBuiltin="1"/>
    <cellStyle name="Heading 1" xfId="6" builtinId="16" customBuiltin="1"/>
    <cellStyle name="Heading 2" xfId="7" builtinId="17" customBuiltin="1"/>
    <cellStyle name="Heading 3" xfId="8" builtinId="18" customBuiltin="1"/>
    <cellStyle name="Heading 4" xfId="17" builtinId="19" customBuiltin="1"/>
    <cellStyle name="Hyperlink" xfId="1" builtinId="8" customBuiltin="1"/>
    <cellStyle name="Input" xfId="21" builtinId="20" customBuiltin="1"/>
    <cellStyle name="Linked Cell" xfId="24" builtinId="24" customBuiltin="1"/>
    <cellStyle name="Name" xfId="11" xr:uid="{B2D3C1EE-6B41-4801-AAFC-C2274E49E503}"/>
    <cellStyle name="Neutral" xfId="20" builtinId="28" customBuiltin="1"/>
    <cellStyle name="Normal" xfId="0" builtinId="0" customBuiltin="1"/>
    <cellStyle name="Note" xfId="27" builtinId="10" customBuiltin="1"/>
    <cellStyle name="Output" xfId="22" builtinId="21" customBuiltin="1"/>
    <cellStyle name="Percent" xfId="2" builtinId="5" customBuiltin="1"/>
    <cellStyle name="Project Start" xfId="9" xr:uid="{8EB8A09A-C31C-40A3-B2C1-9449520178B8}"/>
    <cellStyle name="Task" xfId="12" xr:uid="{6391D789-272B-4DD2-9BF3-2CDCF610FA41}"/>
    <cellStyle name="Title" xfId="5" builtinId="15" customBuiltin="1"/>
    <cellStyle name="Total" xfId="29" builtinId="25" customBuiltin="1"/>
    <cellStyle name="Warning Text" xfId="26" builtinId="11" customBuiltin="1"/>
    <cellStyle name="zHiddenText" xfId="3" xr:uid="{26E66EE6-E33F-4D77-BAE4-0FB4F5BBF673}"/>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G45"/>
  <sheetViews>
    <sheetView showGridLines="0" tabSelected="1" showRuler="0" zoomScaleNormal="100" zoomScalePageLayoutView="70" workbookViewId="0">
      <pane ySplit="6" topLeftCell="A8" activePane="bottomLeft" state="frozen"/>
      <selection pane="bottomLeft" activeCell="AQ15" sqref="AQ15"/>
    </sheetView>
  </sheetViews>
  <sheetFormatPr defaultRowHeight="30" customHeight="1" x14ac:dyDescent="0.25"/>
  <cols>
    <col min="1" max="1" width="2.7109375" style="45" customWidth="1"/>
    <col min="2" max="2" width="19.85546875" customWidth="1"/>
    <col min="3" max="3" width="30.7109375" customWidth="1"/>
    <col min="4" max="4" width="10.7109375" customWidth="1"/>
    <col min="5" max="5" width="10.42578125" style="5" customWidth="1"/>
    <col min="6" max="6" width="10.42578125" customWidth="1"/>
    <col min="7" max="7" width="2.7109375" customWidth="1"/>
    <col min="8" max="8" width="6.140625" customWidth="1"/>
    <col min="9" max="85" width="2.5703125" customWidth="1"/>
  </cols>
  <sheetData>
    <row r="1" spans="1:85" ht="30" customHeight="1" x14ac:dyDescent="0.45">
      <c r="A1" s="46" t="s">
        <v>0</v>
      </c>
      <c r="B1" s="49" t="s">
        <v>40</v>
      </c>
      <c r="C1" s="1"/>
      <c r="D1" s="2"/>
      <c r="E1" s="4"/>
      <c r="F1" s="34"/>
      <c r="H1" s="2"/>
      <c r="I1" s="66" t="s">
        <v>24</v>
      </c>
    </row>
    <row r="2" spans="1:85" ht="30" customHeight="1" x14ac:dyDescent="0.3">
      <c r="A2" s="45" t="s">
        <v>1</v>
      </c>
      <c r="B2" s="50" t="s">
        <v>41</v>
      </c>
      <c r="I2" s="67" t="s">
        <v>25</v>
      </c>
    </row>
    <row r="3" spans="1:85" ht="30" customHeight="1" x14ac:dyDescent="0.25">
      <c r="A3" s="45" t="s">
        <v>2</v>
      </c>
      <c r="B3" s="87" t="s">
        <v>14</v>
      </c>
      <c r="C3" s="94" t="s">
        <v>17</v>
      </c>
      <c r="D3" s="95"/>
      <c r="E3" s="96">
        <f>DATE(2025,11,11)</f>
        <v>45972</v>
      </c>
      <c r="F3" s="96"/>
    </row>
    <row r="4" spans="1:85" ht="30" customHeight="1" x14ac:dyDescent="0.25">
      <c r="A4" s="46" t="s">
        <v>3</v>
      </c>
      <c r="C4" s="94" t="s">
        <v>18</v>
      </c>
      <c r="D4" s="95"/>
      <c r="E4" s="7">
        <v>0</v>
      </c>
      <c r="I4" s="91">
        <f>I5</f>
        <v>45964</v>
      </c>
      <c r="J4" s="92"/>
      <c r="K4" s="92"/>
      <c r="L4" s="92"/>
      <c r="M4" s="92"/>
      <c r="N4" s="92"/>
      <c r="O4" s="93"/>
      <c r="P4" s="91">
        <f>P5</f>
        <v>45971</v>
      </c>
      <c r="Q4" s="92"/>
      <c r="R4" s="92"/>
      <c r="S4" s="92"/>
      <c r="T4" s="92"/>
      <c r="U4" s="92"/>
      <c r="V4" s="93"/>
      <c r="W4" s="91">
        <f>W5</f>
        <v>45978</v>
      </c>
      <c r="X4" s="92"/>
      <c r="Y4" s="92"/>
      <c r="Z4" s="92"/>
      <c r="AA4" s="92"/>
      <c r="AB4" s="92"/>
      <c r="AC4" s="93"/>
      <c r="AD4" s="91">
        <f>AD5</f>
        <v>45985</v>
      </c>
      <c r="AE4" s="92"/>
      <c r="AF4" s="92"/>
      <c r="AG4" s="92"/>
      <c r="AH4" s="92"/>
      <c r="AI4" s="92"/>
      <c r="AJ4" s="93"/>
      <c r="AK4" s="91">
        <f>AK5</f>
        <v>45992</v>
      </c>
      <c r="AL4" s="92"/>
      <c r="AM4" s="92"/>
      <c r="AN4" s="92"/>
      <c r="AO4" s="92"/>
      <c r="AP4" s="92"/>
      <c r="AQ4" s="93"/>
      <c r="AR4" s="91">
        <f>AR5</f>
        <v>45999</v>
      </c>
      <c r="AS4" s="92"/>
      <c r="AT4" s="92"/>
      <c r="AU4" s="92"/>
      <c r="AV4" s="92"/>
      <c r="AW4" s="92"/>
      <c r="AX4" s="93"/>
      <c r="AY4" s="91">
        <f>AY5</f>
        <v>46006</v>
      </c>
      <c r="AZ4" s="92"/>
      <c r="BA4" s="92"/>
      <c r="BB4" s="92"/>
      <c r="BC4" s="92"/>
      <c r="BD4" s="92"/>
      <c r="BE4" s="93"/>
      <c r="BF4" s="91">
        <f>BF5</f>
        <v>46013</v>
      </c>
      <c r="BG4" s="92"/>
      <c r="BH4" s="92"/>
      <c r="BI4" s="92"/>
      <c r="BJ4" s="92"/>
      <c r="BK4" s="92"/>
      <c r="BL4" s="93"/>
      <c r="BM4" s="91">
        <f>BM5</f>
        <v>46020</v>
      </c>
      <c r="BN4" s="92"/>
      <c r="BO4" s="92"/>
      <c r="BP4" s="92"/>
      <c r="BQ4" s="92"/>
      <c r="BR4" s="92"/>
      <c r="BS4" s="93"/>
      <c r="BT4" s="91">
        <f>BT5</f>
        <v>46027</v>
      </c>
      <c r="BU4" s="92"/>
      <c r="BV4" s="92"/>
      <c r="BW4" s="92"/>
      <c r="BX4" s="92"/>
      <c r="BY4" s="92"/>
      <c r="BZ4" s="93"/>
      <c r="CA4" s="91">
        <f>CA5</f>
        <v>46034</v>
      </c>
      <c r="CB4" s="92"/>
      <c r="CC4" s="92"/>
      <c r="CD4" s="92"/>
      <c r="CE4" s="92"/>
      <c r="CF4" s="92"/>
      <c r="CG4" s="93"/>
    </row>
    <row r="5" spans="1:85" ht="15" customHeight="1" x14ac:dyDescent="0.25">
      <c r="A5" s="46" t="s">
        <v>4</v>
      </c>
      <c r="B5" s="65"/>
      <c r="C5" s="65"/>
      <c r="D5" s="65"/>
      <c r="E5" s="65"/>
      <c r="F5" s="65"/>
      <c r="G5" s="65"/>
      <c r="I5" s="84">
        <f>Project_Start-WEEKDAY(Project_Start,1)+2+7*(Display_Week-1)</f>
        <v>45964</v>
      </c>
      <c r="J5" s="85">
        <f>I5+1</f>
        <v>45965</v>
      </c>
      <c r="K5" s="85">
        <f t="shared" ref="K5:AX5" si="0">J5+1</f>
        <v>45966</v>
      </c>
      <c r="L5" s="85">
        <f t="shared" si="0"/>
        <v>45967</v>
      </c>
      <c r="M5" s="85">
        <f t="shared" si="0"/>
        <v>45968</v>
      </c>
      <c r="N5" s="85">
        <f t="shared" si="0"/>
        <v>45969</v>
      </c>
      <c r="O5" s="86">
        <f t="shared" si="0"/>
        <v>45970</v>
      </c>
      <c r="P5" s="84">
        <f>O5+1</f>
        <v>45971</v>
      </c>
      <c r="Q5" s="85">
        <f>P5+1</f>
        <v>45972</v>
      </c>
      <c r="R5" s="85">
        <f t="shared" si="0"/>
        <v>45973</v>
      </c>
      <c r="S5" s="85">
        <f t="shared" si="0"/>
        <v>45974</v>
      </c>
      <c r="T5" s="85">
        <f t="shared" si="0"/>
        <v>45975</v>
      </c>
      <c r="U5" s="85">
        <f t="shared" si="0"/>
        <v>45976</v>
      </c>
      <c r="V5" s="86">
        <f t="shared" si="0"/>
        <v>45977</v>
      </c>
      <c r="W5" s="84">
        <f>V5+1</f>
        <v>45978</v>
      </c>
      <c r="X5" s="85">
        <f>W5+1</f>
        <v>45979</v>
      </c>
      <c r="Y5" s="85">
        <f t="shared" si="0"/>
        <v>45980</v>
      </c>
      <c r="Z5" s="85">
        <f t="shared" si="0"/>
        <v>45981</v>
      </c>
      <c r="AA5" s="85">
        <f t="shared" si="0"/>
        <v>45982</v>
      </c>
      <c r="AB5" s="85">
        <f t="shared" si="0"/>
        <v>45983</v>
      </c>
      <c r="AC5" s="86">
        <f t="shared" si="0"/>
        <v>45984</v>
      </c>
      <c r="AD5" s="84">
        <f>AC5+1</f>
        <v>45985</v>
      </c>
      <c r="AE5" s="85">
        <f>AD5+1</f>
        <v>45986</v>
      </c>
      <c r="AF5" s="85">
        <f t="shared" si="0"/>
        <v>45987</v>
      </c>
      <c r="AG5" s="85">
        <f t="shared" si="0"/>
        <v>45988</v>
      </c>
      <c r="AH5" s="85">
        <f t="shared" si="0"/>
        <v>45989</v>
      </c>
      <c r="AI5" s="85">
        <f t="shared" si="0"/>
        <v>45990</v>
      </c>
      <c r="AJ5" s="86">
        <f t="shared" si="0"/>
        <v>45991</v>
      </c>
      <c r="AK5" s="84">
        <f>AJ5+1</f>
        <v>45992</v>
      </c>
      <c r="AL5" s="85">
        <f>AK5+1</f>
        <v>45993</v>
      </c>
      <c r="AM5" s="85">
        <f t="shared" si="0"/>
        <v>45994</v>
      </c>
      <c r="AN5" s="85">
        <f t="shared" si="0"/>
        <v>45995</v>
      </c>
      <c r="AO5" s="85">
        <f t="shared" si="0"/>
        <v>45996</v>
      </c>
      <c r="AP5" s="85">
        <f t="shared" si="0"/>
        <v>45997</v>
      </c>
      <c r="AQ5" s="86">
        <f t="shared" si="0"/>
        <v>45998</v>
      </c>
      <c r="AR5" s="84">
        <f>AQ5+1</f>
        <v>45999</v>
      </c>
      <c r="AS5" s="85">
        <f>AR5+1</f>
        <v>46000</v>
      </c>
      <c r="AT5" s="85">
        <f t="shared" si="0"/>
        <v>46001</v>
      </c>
      <c r="AU5" s="85">
        <f t="shared" si="0"/>
        <v>46002</v>
      </c>
      <c r="AV5" s="85">
        <f t="shared" si="0"/>
        <v>46003</v>
      </c>
      <c r="AW5" s="85">
        <f t="shared" si="0"/>
        <v>46004</v>
      </c>
      <c r="AX5" s="86">
        <f t="shared" si="0"/>
        <v>46005</v>
      </c>
      <c r="AY5" s="84">
        <f>AX5+1</f>
        <v>46006</v>
      </c>
      <c r="AZ5" s="85">
        <f>AY5+1</f>
        <v>46007</v>
      </c>
      <c r="BA5" s="85">
        <f t="shared" ref="BA5:BE5" si="1">AZ5+1</f>
        <v>46008</v>
      </c>
      <c r="BB5" s="85">
        <f t="shared" si="1"/>
        <v>46009</v>
      </c>
      <c r="BC5" s="85">
        <f t="shared" si="1"/>
        <v>46010</v>
      </c>
      <c r="BD5" s="85">
        <f t="shared" si="1"/>
        <v>46011</v>
      </c>
      <c r="BE5" s="86">
        <f t="shared" si="1"/>
        <v>46012</v>
      </c>
      <c r="BF5" s="84">
        <f>BE5+1</f>
        <v>46013</v>
      </c>
      <c r="BG5" s="85">
        <f>BF5+1</f>
        <v>46014</v>
      </c>
      <c r="BH5" s="85">
        <f t="shared" ref="BH5:BL5" si="2">BG5+1</f>
        <v>46015</v>
      </c>
      <c r="BI5" s="85">
        <f t="shared" si="2"/>
        <v>46016</v>
      </c>
      <c r="BJ5" s="85">
        <f t="shared" si="2"/>
        <v>46017</v>
      </c>
      <c r="BK5" s="85">
        <f t="shared" si="2"/>
        <v>46018</v>
      </c>
      <c r="BL5" s="86">
        <f t="shared" si="2"/>
        <v>46019</v>
      </c>
      <c r="BM5" s="84">
        <f>BL5+1</f>
        <v>46020</v>
      </c>
      <c r="BN5" s="85">
        <f>BM5+1</f>
        <v>46021</v>
      </c>
      <c r="BO5" s="85">
        <f t="shared" ref="BO5" si="3">BN5+1</f>
        <v>46022</v>
      </c>
      <c r="BP5" s="85">
        <f t="shared" ref="BP5" si="4">BO5+1</f>
        <v>46023</v>
      </c>
      <c r="BQ5" s="85">
        <f t="shared" ref="BQ5" si="5">BP5+1</f>
        <v>46024</v>
      </c>
      <c r="BR5" s="85">
        <f t="shared" ref="BR5" si="6">BQ5+1</f>
        <v>46025</v>
      </c>
      <c r="BS5" s="86">
        <f t="shared" ref="BS5" si="7">BR5+1</f>
        <v>46026</v>
      </c>
      <c r="BT5" s="84">
        <f>BS5+1</f>
        <v>46027</v>
      </c>
      <c r="BU5" s="85">
        <f>BT5+1</f>
        <v>46028</v>
      </c>
      <c r="BV5" s="85">
        <f t="shared" ref="BV5" si="8">BU5+1</f>
        <v>46029</v>
      </c>
      <c r="BW5" s="85">
        <f t="shared" ref="BW5" si="9">BV5+1</f>
        <v>46030</v>
      </c>
      <c r="BX5" s="85">
        <f t="shared" ref="BX5" si="10">BW5+1</f>
        <v>46031</v>
      </c>
      <c r="BY5" s="85">
        <f t="shared" ref="BY5" si="11">BX5+1</f>
        <v>46032</v>
      </c>
      <c r="BZ5" s="86">
        <f t="shared" ref="BZ5" si="12">BY5+1</f>
        <v>46033</v>
      </c>
      <c r="CA5" s="84">
        <f>BZ5+1</f>
        <v>46034</v>
      </c>
      <c r="CB5" s="85">
        <f>CA5+1</f>
        <v>46035</v>
      </c>
      <c r="CC5" s="85">
        <f t="shared" ref="CC5" si="13">CB5+1</f>
        <v>46036</v>
      </c>
      <c r="CD5" s="85">
        <f t="shared" ref="CD5" si="14">CC5+1</f>
        <v>46037</v>
      </c>
      <c r="CE5" s="85">
        <f t="shared" ref="CE5" si="15">CD5+1</f>
        <v>46038</v>
      </c>
      <c r="CF5" s="85">
        <f t="shared" ref="CF5" si="16">CE5+1</f>
        <v>46039</v>
      </c>
      <c r="CG5" s="86">
        <f t="shared" ref="CG5" si="17">CF5+1</f>
        <v>46040</v>
      </c>
    </row>
    <row r="6" spans="1:85" ht="30" customHeight="1" thickBot="1" x14ac:dyDescent="0.3">
      <c r="A6" s="46" t="s">
        <v>5</v>
      </c>
      <c r="B6" s="8" t="s">
        <v>15</v>
      </c>
      <c r="C6" s="9" t="s">
        <v>19</v>
      </c>
      <c r="D6" s="9" t="s">
        <v>20</v>
      </c>
      <c r="E6" s="9" t="s">
        <v>21</v>
      </c>
      <c r="F6" s="9" t="s">
        <v>22</v>
      </c>
      <c r="G6" s="9"/>
      <c r="H6" s="9" t="s">
        <v>23</v>
      </c>
      <c r="I6" s="10" t="str">
        <f t="shared" ref="I6" si="18">LEFT(TEXT(I5,"ddd"),1)</f>
        <v>M</v>
      </c>
      <c r="J6" s="10" t="str">
        <f t="shared" ref="J6:AR6" si="19">LEFT(TEXT(J5,"ddd"),1)</f>
        <v>T</v>
      </c>
      <c r="K6" s="10" t="str">
        <f t="shared" si="19"/>
        <v>W</v>
      </c>
      <c r="L6" s="10" t="str">
        <f t="shared" si="19"/>
        <v>T</v>
      </c>
      <c r="M6" s="10" t="str">
        <f t="shared" si="19"/>
        <v>F</v>
      </c>
      <c r="N6" s="10" t="str">
        <f t="shared" si="19"/>
        <v>S</v>
      </c>
      <c r="O6" s="10" t="str">
        <f t="shared" si="19"/>
        <v>S</v>
      </c>
      <c r="P6" s="10" t="str">
        <f t="shared" si="19"/>
        <v>M</v>
      </c>
      <c r="Q6" s="10" t="str">
        <f t="shared" si="19"/>
        <v>T</v>
      </c>
      <c r="R6" s="10" t="str">
        <f t="shared" si="19"/>
        <v>W</v>
      </c>
      <c r="S6" s="10" t="str">
        <f t="shared" si="19"/>
        <v>T</v>
      </c>
      <c r="T6" s="10" t="str">
        <f t="shared" si="19"/>
        <v>F</v>
      </c>
      <c r="U6" s="10" t="str">
        <f t="shared" si="19"/>
        <v>S</v>
      </c>
      <c r="V6" s="10" t="str">
        <f t="shared" si="19"/>
        <v>S</v>
      </c>
      <c r="W6" s="10" t="str">
        <f t="shared" si="19"/>
        <v>M</v>
      </c>
      <c r="X6" s="10" t="str">
        <f t="shared" si="19"/>
        <v>T</v>
      </c>
      <c r="Y6" s="10" t="str">
        <f t="shared" si="19"/>
        <v>W</v>
      </c>
      <c r="Z6" s="10" t="str">
        <f t="shared" si="19"/>
        <v>T</v>
      </c>
      <c r="AA6" s="10" t="str">
        <f t="shared" si="19"/>
        <v>F</v>
      </c>
      <c r="AB6" s="10" t="str">
        <f t="shared" si="19"/>
        <v>S</v>
      </c>
      <c r="AC6" s="10" t="str">
        <f t="shared" si="19"/>
        <v>S</v>
      </c>
      <c r="AD6" s="10" t="str">
        <f t="shared" si="19"/>
        <v>M</v>
      </c>
      <c r="AE6" s="10" t="str">
        <f t="shared" si="19"/>
        <v>T</v>
      </c>
      <c r="AF6" s="10" t="str">
        <f t="shared" si="19"/>
        <v>W</v>
      </c>
      <c r="AG6" s="10" t="str">
        <f t="shared" si="19"/>
        <v>T</v>
      </c>
      <c r="AH6" s="10" t="str">
        <f t="shared" si="19"/>
        <v>F</v>
      </c>
      <c r="AI6" s="10" t="str">
        <f t="shared" si="19"/>
        <v>S</v>
      </c>
      <c r="AJ6" s="10" t="str">
        <f t="shared" si="19"/>
        <v>S</v>
      </c>
      <c r="AK6" s="10" t="str">
        <f t="shared" si="19"/>
        <v>M</v>
      </c>
      <c r="AL6" s="10" t="str">
        <f t="shared" si="19"/>
        <v>T</v>
      </c>
      <c r="AM6" s="10" t="str">
        <f t="shared" si="19"/>
        <v>W</v>
      </c>
      <c r="AN6" s="10" t="str">
        <f t="shared" si="19"/>
        <v>T</v>
      </c>
      <c r="AO6" s="10" t="str">
        <f t="shared" si="19"/>
        <v>F</v>
      </c>
      <c r="AP6" s="10" t="str">
        <f t="shared" si="19"/>
        <v>S</v>
      </c>
      <c r="AQ6" s="10" t="str">
        <f t="shared" si="19"/>
        <v>S</v>
      </c>
      <c r="AR6" s="10" t="str">
        <f t="shared" si="19"/>
        <v>M</v>
      </c>
      <c r="AS6" s="10" t="str">
        <f t="shared" ref="AS6:BL6" si="20">LEFT(TEXT(AS5,"ddd"),1)</f>
        <v>T</v>
      </c>
      <c r="AT6" s="10" t="str">
        <f t="shared" si="20"/>
        <v>W</v>
      </c>
      <c r="AU6" s="10" t="str">
        <f t="shared" si="20"/>
        <v>T</v>
      </c>
      <c r="AV6" s="10" t="str">
        <f t="shared" si="20"/>
        <v>F</v>
      </c>
      <c r="AW6" s="10" t="str">
        <f t="shared" si="20"/>
        <v>S</v>
      </c>
      <c r="AX6" s="10" t="str">
        <f t="shared" si="20"/>
        <v>S</v>
      </c>
      <c r="AY6" s="10" t="str">
        <f t="shared" si="20"/>
        <v>M</v>
      </c>
      <c r="AZ6" s="10" t="str">
        <f t="shared" si="20"/>
        <v>T</v>
      </c>
      <c r="BA6" s="10" t="str">
        <f t="shared" si="20"/>
        <v>W</v>
      </c>
      <c r="BB6" s="10" t="str">
        <f t="shared" si="20"/>
        <v>T</v>
      </c>
      <c r="BC6" s="10" t="str">
        <f t="shared" si="20"/>
        <v>F</v>
      </c>
      <c r="BD6" s="10" t="str">
        <f t="shared" si="20"/>
        <v>S</v>
      </c>
      <c r="BE6" s="10" t="str">
        <f t="shared" si="20"/>
        <v>S</v>
      </c>
      <c r="BF6" s="10" t="str">
        <f t="shared" si="20"/>
        <v>M</v>
      </c>
      <c r="BG6" s="10" t="str">
        <f t="shared" si="20"/>
        <v>T</v>
      </c>
      <c r="BH6" s="10" t="str">
        <f t="shared" si="20"/>
        <v>W</v>
      </c>
      <c r="BI6" s="10" t="str">
        <f t="shared" si="20"/>
        <v>T</v>
      </c>
      <c r="BJ6" s="10" t="str">
        <f t="shared" si="20"/>
        <v>F</v>
      </c>
      <c r="BK6" s="10" t="str">
        <f t="shared" si="20"/>
        <v>S</v>
      </c>
      <c r="BL6" s="10" t="str">
        <f t="shared" si="20"/>
        <v>S</v>
      </c>
      <c r="BM6" s="10" t="str">
        <f t="shared" ref="BM6:BS6" si="21">LEFT(TEXT(BM5,"ddd"),1)</f>
        <v>M</v>
      </c>
      <c r="BN6" s="10" t="str">
        <f t="shared" si="21"/>
        <v>T</v>
      </c>
      <c r="BO6" s="10" t="str">
        <f t="shared" si="21"/>
        <v>W</v>
      </c>
      <c r="BP6" s="10" t="str">
        <f t="shared" si="21"/>
        <v>T</v>
      </c>
      <c r="BQ6" s="10" t="str">
        <f t="shared" si="21"/>
        <v>F</v>
      </c>
      <c r="BR6" s="10" t="str">
        <f t="shared" si="21"/>
        <v>S</v>
      </c>
      <c r="BS6" s="10" t="str">
        <f t="shared" si="21"/>
        <v>S</v>
      </c>
      <c r="BT6" s="10" t="str">
        <f t="shared" ref="BT6:BZ6" si="22">LEFT(TEXT(BT5,"ddd"),1)</f>
        <v>M</v>
      </c>
      <c r="BU6" s="10" t="str">
        <f t="shared" si="22"/>
        <v>T</v>
      </c>
      <c r="BV6" s="10" t="str">
        <f t="shared" si="22"/>
        <v>W</v>
      </c>
      <c r="BW6" s="10" t="str">
        <f t="shared" si="22"/>
        <v>T</v>
      </c>
      <c r="BX6" s="10" t="str">
        <f t="shared" si="22"/>
        <v>F</v>
      </c>
      <c r="BY6" s="10" t="str">
        <f t="shared" si="22"/>
        <v>S</v>
      </c>
      <c r="BZ6" s="10" t="str">
        <f t="shared" si="22"/>
        <v>S</v>
      </c>
      <c r="CA6" s="10" t="str">
        <f t="shared" ref="CA6:CG6" si="23">LEFT(TEXT(CA5,"ddd"),1)</f>
        <v>M</v>
      </c>
      <c r="CB6" s="10" t="str">
        <f t="shared" si="23"/>
        <v>T</v>
      </c>
      <c r="CC6" s="10" t="str">
        <f t="shared" si="23"/>
        <v>W</v>
      </c>
      <c r="CD6" s="10" t="str">
        <f t="shared" si="23"/>
        <v>T</v>
      </c>
      <c r="CE6" s="10" t="str">
        <f t="shared" si="23"/>
        <v>F</v>
      </c>
      <c r="CF6" s="10" t="str">
        <f t="shared" si="23"/>
        <v>S</v>
      </c>
      <c r="CG6" s="10" t="str">
        <f t="shared" si="23"/>
        <v>S</v>
      </c>
    </row>
    <row r="7" spans="1:85" ht="30" hidden="1" customHeight="1" thickBot="1" x14ac:dyDescent="0.3">
      <c r="A7" s="45" t="s">
        <v>6</v>
      </c>
      <c r="C7" s="48"/>
      <c r="E7"/>
      <c r="H7" t="str">
        <f>IF(OR(ISBLANK(task_start),ISBLANK(task_end)),"",task_end-task_start+1)</f>
        <v/>
      </c>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row>
    <row r="8" spans="1:85" s="3" customFormat="1" ht="30" customHeight="1" thickBot="1" x14ac:dyDescent="0.3">
      <c r="A8" s="46" t="s">
        <v>7</v>
      </c>
      <c r="B8" s="15" t="s">
        <v>70</v>
      </c>
      <c r="C8" s="51"/>
      <c r="D8" s="16"/>
      <c r="E8" s="69"/>
      <c r="F8" s="70"/>
      <c r="G8" s="14"/>
      <c r="H8" s="14" t="str">
        <f t="shared" ref="H8:H42" si="24">IF(OR(ISBLANK(task_start),ISBLANK(task_end)),"",task_end-task_start+1)</f>
        <v/>
      </c>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c r="BU8" s="31"/>
      <c r="BV8" s="31"/>
      <c r="BW8" s="31"/>
      <c r="BX8" s="31"/>
      <c r="BY8" s="31"/>
      <c r="BZ8" s="31"/>
      <c r="CA8" s="31"/>
      <c r="CB8" s="31"/>
      <c r="CC8" s="31"/>
      <c r="CD8" s="31"/>
      <c r="CE8" s="31"/>
      <c r="CF8" s="31"/>
      <c r="CG8" s="31"/>
    </row>
    <row r="9" spans="1:85" s="3" customFormat="1" ht="30" customHeight="1" thickBot="1" x14ac:dyDescent="0.3">
      <c r="A9" s="46" t="s">
        <v>8</v>
      </c>
      <c r="B9" s="60" t="s">
        <v>42</v>
      </c>
      <c r="C9" s="52" t="s">
        <v>60</v>
      </c>
      <c r="D9" s="17">
        <v>1</v>
      </c>
      <c r="E9" s="71">
        <f>Project_Start</f>
        <v>45972</v>
      </c>
      <c r="F9" s="71">
        <f>E9+7</f>
        <v>45979</v>
      </c>
      <c r="G9" s="14"/>
      <c r="H9" s="14">
        <f t="shared" si="24"/>
        <v>8</v>
      </c>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1"/>
      <c r="BD9" s="31"/>
      <c r="BE9" s="31"/>
      <c r="BF9" s="31"/>
      <c r="BG9" s="31"/>
      <c r="BH9" s="31"/>
      <c r="BI9" s="31"/>
      <c r="BJ9" s="31"/>
      <c r="BK9" s="31"/>
      <c r="BL9" s="31"/>
      <c r="BM9" s="31"/>
      <c r="BN9" s="31"/>
      <c r="BO9" s="31"/>
      <c r="BP9" s="31"/>
      <c r="BQ9" s="31"/>
      <c r="BR9" s="31"/>
      <c r="BS9" s="31"/>
      <c r="BT9" s="31"/>
      <c r="BU9" s="31"/>
      <c r="BV9" s="31"/>
      <c r="BW9" s="31"/>
      <c r="BX9" s="31"/>
      <c r="BY9" s="31"/>
      <c r="BZ9" s="31"/>
      <c r="CA9" s="31"/>
      <c r="CB9" s="31"/>
      <c r="CC9" s="31"/>
      <c r="CD9" s="31"/>
      <c r="CE9" s="31"/>
      <c r="CF9" s="31"/>
      <c r="CG9" s="31"/>
    </row>
    <row r="10" spans="1:85" s="3" customFormat="1" ht="30" customHeight="1" thickBot="1" x14ac:dyDescent="0.3">
      <c r="A10" s="46"/>
      <c r="B10" s="60" t="s">
        <v>61</v>
      </c>
      <c r="C10" s="52" t="s">
        <v>62</v>
      </c>
      <c r="D10" s="17">
        <v>0.2</v>
      </c>
      <c r="E10" s="71">
        <f>F9</f>
        <v>45979</v>
      </c>
      <c r="F10" s="71">
        <f>E10+5</f>
        <v>45984</v>
      </c>
      <c r="G10" s="14"/>
      <c r="H10" s="14">
        <f t="shared" si="24"/>
        <v>6</v>
      </c>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c r="BM10" s="31"/>
      <c r="BN10" s="31"/>
      <c r="BO10" s="31"/>
      <c r="BP10" s="31"/>
      <c r="BQ10" s="31"/>
      <c r="BR10" s="31"/>
      <c r="BS10" s="31"/>
      <c r="BT10" s="31"/>
      <c r="BU10" s="31"/>
      <c r="BV10" s="31"/>
      <c r="BW10" s="31"/>
      <c r="BX10" s="31"/>
      <c r="BY10" s="31"/>
      <c r="BZ10" s="31"/>
      <c r="CA10" s="31"/>
      <c r="CB10" s="31"/>
      <c r="CC10" s="31"/>
      <c r="CD10" s="31"/>
      <c r="CE10" s="31"/>
      <c r="CF10" s="31"/>
      <c r="CG10" s="31"/>
    </row>
    <row r="11" spans="1:85" s="3" customFormat="1" ht="30" customHeight="1" thickBot="1" x14ac:dyDescent="0.3">
      <c r="A11" s="46"/>
      <c r="B11" s="88" t="s">
        <v>79</v>
      </c>
      <c r="C11" s="52" t="s">
        <v>80</v>
      </c>
      <c r="D11" s="17">
        <v>1</v>
      </c>
      <c r="E11" s="71">
        <f>F9</f>
        <v>45979</v>
      </c>
      <c r="F11" s="71">
        <f>E11+3</f>
        <v>45982</v>
      </c>
      <c r="G11" s="14"/>
      <c r="H11" s="14">
        <f t="shared" si="24"/>
        <v>4</v>
      </c>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c r="BM11" s="31"/>
      <c r="BN11" s="31"/>
      <c r="BO11" s="31"/>
      <c r="BP11" s="31"/>
      <c r="BQ11" s="31"/>
      <c r="BR11" s="31"/>
      <c r="BS11" s="31"/>
      <c r="BT11" s="31"/>
      <c r="BU11" s="31"/>
      <c r="BV11" s="31"/>
      <c r="BW11" s="31"/>
      <c r="BX11" s="31"/>
      <c r="BY11" s="31"/>
      <c r="BZ11" s="31"/>
      <c r="CA11" s="31"/>
      <c r="CB11" s="31"/>
      <c r="CC11" s="31"/>
      <c r="CD11" s="31"/>
      <c r="CE11" s="31"/>
      <c r="CF11" s="31"/>
      <c r="CG11" s="31"/>
    </row>
    <row r="12" spans="1:85" s="3" customFormat="1" ht="30" customHeight="1" thickBot="1" x14ac:dyDescent="0.3">
      <c r="A12" s="46" t="s">
        <v>9</v>
      </c>
      <c r="B12" s="89" t="s">
        <v>55</v>
      </c>
      <c r="C12" s="52" t="s">
        <v>63</v>
      </c>
      <c r="D12" s="17">
        <v>0</v>
      </c>
      <c r="E12" s="71">
        <f>F11</f>
        <v>45982</v>
      </c>
      <c r="F12" s="71">
        <f>E12+4</f>
        <v>45986</v>
      </c>
      <c r="G12" s="14"/>
      <c r="H12" s="14">
        <f t="shared" si="24"/>
        <v>5</v>
      </c>
      <c r="I12" s="31"/>
      <c r="J12" s="31"/>
      <c r="K12" s="31"/>
      <c r="L12" s="31"/>
      <c r="M12" s="31"/>
      <c r="N12" s="31"/>
      <c r="O12" s="31"/>
      <c r="P12" s="31"/>
      <c r="Q12" s="31"/>
      <c r="R12" s="31"/>
      <c r="S12" s="31"/>
      <c r="T12" s="31"/>
      <c r="U12" s="32"/>
      <c r="V12" s="32"/>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1"/>
      <c r="BJ12" s="31"/>
      <c r="BK12" s="31"/>
      <c r="BL12" s="31"/>
      <c r="BM12" s="31"/>
      <c r="BN12" s="31"/>
      <c r="BO12" s="31"/>
      <c r="BP12" s="31"/>
      <c r="BQ12" s="31"/>
      <c r="BR12" s="31"/>
      <c r="BS12" s="31"/>
      <c r="BT12" s="31"/>
      <c r="BU12" s="31"/>
      <c r="BV12" s="31"/>
      <c r="BW12" s="31"/>
      <c r="BX12" s="31"/>
      <c r="BY12" s="31"/>
      <c r="BZ12" s="31"/>
      <c r="CA12" s="31"/>
      <c r="CB12" s="31"/>
      <c r="CC12" s="31"/>
      <c r="CD12" s="31"/>
      <c r="CE12" s="31"/>
      <c r="CF12" s="31"/>
      <c r="CG12" s="31"/>
    </row>
    <row r="13" spans="1:85" s="3" customFormat="1" ht="30" customHeight="1" thickBot="1" x14ac:dyDescent="0.3">
      <c r="A13" s="45"/>
      <c r="B13" s="60" t="s">
        <v>43</v>
      </c>
      <c r="C13" s="52" t="s">
        <v>64</v>
      </c>
      <c r="D13" s="17">
        <v>0.5</v>
      </c>
      <c r="E13" s="71">
        <f>Project_Start</f>
        <v>45972</v>
      </c>
      <c r="F13" s="71">
        <f>E13+7</f>
        <v>45979</v>
      </c>
      <c r="G13" s="14"/>
      <c r="H13" s="14">
        <f t="shared" si="24"/>
        <v>8</v>
      </c>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1"/>
      <c r="BD13" s="31"/>
      <c r="BE13" s="31"/>
      <c r="BF13" s="31"/>
      <c r="BG13" s="31"/>
      <c r="BH13" s="31"/>
      <c r="BI13" s="31"/>
      <c r="BJ13" s="31"/>
      <c r="BK13" s="31"/>
      <c r="BL13" s="31"/>
      <c r="BM13" s="31"/>
      <c r="BN13" s="31"/>
      <c r="BO13" s="31"/>
      <c r="BP13" s="31"/>
      <c r="BQ13" s="31"/>
      <c r="BR13" s="31"/>
      <c r="BS13" s="31"/>
      <c r="BT13" s="31"/>
      <c r="BU13" s="31"/>
      <c r="BV13" s="31"/>
      <c r="BW13" s="31"/>
      <c r="BX13" s="31"/>
      <c r="BY13" s="31"/>
      <c r="BZ13" s="31"/>
      <c r="CA13" s="31"/>
      <c r="CB13" s="31"/>
      <c r="CC13" s="31"/>
      <c r="CD13" s="31"/>
      <c r="CE13" s="31"/>
      <c r="CF13" s="31"/>
      <c r="CG13" s="31"/>
    </row>
    <row r="14" spans="1:85" s="3" customFormat="1" ht="30" customHeight="1" thickBot="1" x14ac:dyDescent="0.3">
      <c r="A14" s="45"/>
      <c r="B14" s="60" t="s">
        <v>45</v>
      </c>
      <c r="C14" s="52"/>
      <c r="D14" s="17">
        <v>0</v>
      </c>
      <c r="E14" s="71">
        <f>F13</f>
        <v>45979</v>
      </c>
      <c r="F14" s="71">
        <f>E14+7</f>
        <v>45986</v>
      </c>
      <c r="G14" s="14"/>
      <c r="H14" s="14">
        <f t="shared" si="24"/>
        <v>8</v>
      </c>
      <c r="I14" s="31"/>
      <c r="J14" s="31"/>
      <c r="K14" s="31"/>
      <c r="L14" s="31"/>
      <c r="M14" s="31"/>
      <c r="N14" s="31"/>
      <c r="O14" s="31"/>
      <c r="P14" s="31"/>
      <c r="Q14" s="31"/>
      <c r="R14" s="31"/>
      <c r="S14" s="31"/>
      <c r="T14" s="31"/>
      <c r="U14" s="31"/>
      <c r="V14" s="31"/>
      <c r="W14" s="31"/>
      <c r="X14" s="31"/>
      <c r="Y14" s="32"/>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1"/>
      <c r="BD14" s="31"/>
      <c r="BE14" s="31"/>
      <c r="BF14" s="31"/>
      <c r="BG14" s="31"/>
      <c r="BH14" s="31"/>
      <c r="BI14" s="31"/>
      <c r="BJ14" s="31"/>
      <c r="BK14" s="31"/>
      <c r="BL14" s="31"/>
      <c r="BM14" s="31"/>
      <c r="BN14" s="31"/>
      <c r="BO14" s="31"/>
      <c r="BP14" s="31"/>
      <c r="BQ14" s="31"/>
      <c r="BR14" s="31"/>
      <c r="BS14" s="31"/>
      <c r="BT14" s="31"/>
      <c r="BU14" s="31"/>
      <c r="BV14" s="31"/>
      <c r="BW14" s="31"/>
      <c r="BX14" s="31"/>
      <c r="BY14" s="31"/>
      <c r="BZ14" s="31"/>
      <c r="CA14" s="31"/>
      <c r="CB14" s="31"/>
      <c r="CC14" s="31"/>
      <c r="CD14" s="31"/>
      <c r="CE14" s="31"/>
      <c r="CF14" s="31"/>
      <c r="CG14" s="31"/>
    </row>
    <row r="15" spans="1:85" s="3" customFormat="1" ht="30" customHeight="1" thickBot="1" x14ac:dyDescent="0.3">
      <c r="A15" s="45"/>
      <c r="B15" s="89" t="s">
        <v>81</v>
      </c>
      <c r="C15" s="52" t="s">
        <v>82</v>
      </c>
      <c r="D15" s="17">
        <v>0</v>
      </c>
      <c r="E15" s="71">
        <f>F13</f>
        <v>45979</v>
      </c>
      <c r="F15" s="71">
        <f>E15+4</f>
        <v>45983</v>
      </c>
      <c r="G15" s="14"/>
      <c r="H15" s="14">
        <f t="shared" si="24"/>
        <v>5</v>
      </c>
      <c r="I15" s="31"/>
      <c r="J15" s="31"/>
      <c r="K15" s="31"/>
      <c r="L15" s="31"/>
      <c r="M15" s="31"/>
      <c r="N15" s="31"/>
      <c r="O15" s="31"/>
      <c r="P15" s="31"/>
      <c r="Q15" s="31"/>
      <c r="R15" s="31"/>
      <c r="S15" s="31"/>
      <c r="T15" s="31"/>
      <c r="U15" s="31"/>
      <c r="V15" s="31"/>
      <c r="W15" s="31"/>
      <c r="X15" s="31"/>
      <c r="Y15" s="32"/>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c r="BM15" s="31"/>
      <c r="BN15" s="31"/>
      <c r="BO15" s="31"/>
      <c r="BP15" s="31"/>
      <c r="BQ15" s="31"/>
      <c r="BR15" s="31"/>
      <c r="BS15" s="31"/>
      <c r="BT15" s="31"/>
      <c r="BU15" s="31"/>
      <c r="BV15" s="31"/>
      <c r="BW15" s="31"/>
      <c r="BX15" s="31"/>
      <c r="BY15" s="31"/>
      <c r="BZ15" s="31"/>
      <c r="CA15" s="31"/>
      <c r="CB15" s="31"/>
      <c r="CC15" s="31"/>
      <c r="CD15" s="31"/>
      <c r="CE15" s="31"/>
      <c r="CF15" s="31"/>
      <c r="CG15" s="31"/>
    </row>
    <row r="16" spans="1:85" s="3" customFormat="1" ht="30" customHeight="1" thickBot="1" x14ac:dyDescent="0.3">
      <c r="A16" s="46" t="s">
        <v>10</v>
      </c>
      <c r="B16" s="18" t="s">
        <v>69</v>
      </c>
      <c r="C16" s="53"/>
      <c r="D16" s="19"/>
      <c r="E16" s="72">
        <f>MAX(F9:F15)</f>
        <v>45986</v>
      </c>
      <c r="F16" s="73"/>
      <c r="G16" s="14"/>
      <c r="H16" s="14" t="str">
        <f t="shared" si="24"/>
        <v/>
      </c>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1"/>
      <c r="BD16" s="31"/>
      <c r="BE16" s="31"/>
      <c r="BF16" s="31"/>
      <c r="BG16" s="31"/>
      <c r="BH16" s="31"/>
      <c r="BI16" s="31"/>
      <c r="BJ16" s="31"/>
      <c r="BK16" s="31"/>
      <c r="BL16" s="31"/>
      <c r="BM16" s="31"/>
      <c r="BN16" s="31"/>
      <c r="BO16" s="31"/>
      <c r="BP16" s="31"/>
      <c r="BQ16" s="31"/>
      <c r="BR16" s="31"/>
      <c r="BS16" s="31"/>
      <c r="BT16" s="31"/>
      <c r="BU16" s="31"/>
      <c r="BV16" s="31"/>
      <c r="BW16" s="31"/>
      <c r="BX16" s="31"/>
      <c r="BY16" s="31"/>
      <c r="BZ16" s="31"/>
      <c r="CA16" s="31"/>
      <c r="CB16" s="31"/>
      <c r="CC16" s="31"/>
      <c r="CD16" s="31"/>
      <c r="CE16" s="31"/>
      <c r="CF16" s="31"/>
      <c r="CG16" s="31"/>
    </row>
    <row r="17" spans="1:85" s="3" customFormat="1" ht="30" customHeight="1" thickBot="1" x14ac:dyDescent="0.3">
      <c r="A17" s="45"/>
      <c r="B17" s="61" t="s">
        <v>66</v>
      </c>
      <c r="C17" s="54"/>
      <c r="D17" s="20">
        <v>0</v>
      </c>
      <c r="E17" s="74">
        <f>E16</f>
        <v>45986</v>
      </c>
      <c r="F17" s="74">
        <f>E17+4</f>
        <v>45990</v>
      </c>
      <c r="G17" s="14"/>
      <c r="H17" s="14">
        <f t="shared" si="24"/>
        <v>5</v>
      </c>
      <c r="I17" s="31"/>
      <c r="J17" s="31"/>
      <c r="K17" s="31"/>
      <c r="L17" s="31"/>
      <c r="M17" s="31"/>
      <c r="N17" s="31"/>
      <c r="O17" s="31"/>
      <c r="P17" s="31"/>
      <c r="Q17" s="31"/>
      <c r="R17" s="31"/>
      <c r="S17" s="31"/>
      <c r="T17" s="31"/>
      <c r="U17" s="32"/>
      <c r="V17" s="32"/>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1"/>
      <c r="BD17" s="31"/>
      <c r="BE17" s="31"/>
      <c r="BF17" s="31"/>
      <c r="BG17" s="31"/>
      <c r="BH17" s="31"/>
      <c r="BI17" s="31"/>
      <c r="BJ17" s="31"/>
      <c r="BK17" s="31"/>
      <c r="BL17" s="31"/>
      <c r="BM17" s="31"/>
      <c r="BN17" s="31"/>
      <c r="BO17" s="31"/>
      <c r="BP17" s="31"/>
      <c r="BQ17" s="31"/>
      <c r="BR17" s="31"/>
      <c r="BS17" s="31"/>
      <c r="BT17" s="31"/>
      <c r="BU17" s="31"/>
      <c r="BV17" s="31"/>
      <c r="BW17" s="31"/>
      <c r="BX17" s="31"/>
      <c r="BY17" s="31"/>
      <c r="BZ17" s="31"/>
      <c r="CA17" s="31"/>
      <c r="CB17" s="31"/>
      <c r="CC17" s="31"/>
      <c r="CD17" s="31"/>
      <c r="CE17" s="31"/>
      <c r="CF17" s="31"/>
      <c r="CG17" s="31"/>
    </row>
    <row r="18" spans="1:85" s="3" customFormat="1" ht="30" customHeight="1" thickBot="1" x14ac:dyDescent="0.3">
      <c r="A18" s="45"/>
      <c r="B18" s="90" t="s">
        <v>67</v>
      </c>
      <c r="C18" s="54" t="s">
        <v>60</v>
      </c>
      <c r="D18" s="20">
        <v>0</v>
      </c>
      <c r="E18" s="74">
        <f>E16</f>
        <v>45986</v>
      </c>
      <c r="F18" s="74">
        <f>E18+7</f>
        <v>45993</v>
      </c>
      <c r="G18" s="14"/>
      <c r="H18" s="14">
        <f t="shared" si="24"/>
        <v>8</v>
      </c>
      <c r="I18" s="31"/>
      <c r="J18" s="31"/>
      <c r="K18" s="31"/>
      <c r="L18" s="31"/>
      <c r="M18" s="31"/>
      <c r="N18" s="31"/>
      <c r="O18" s="31"/>
      <c r="P18" s="31"/>
      <c r="Q18" s="31"/>
      <c r="R18" s="31"/>
      <c r="S18" s="31"/>
      <c r="T18" s="31"/>
      <c r="U18" s="32"/>
      <c r="V18" s="32"/>
      <c r="W18" s="31"/>
      <c r="X18" s="31"/>
      <c r="Y18" s="31"/>
      <c r="Z18" s="31"/>
      <c r="AA18" s="31"/>
      <c r="AB18" s="31"/>
      <c r="AC18" s="31"/>
      <c r="AD18" s="31"/>
      <c r="AE18" s="31"/>
      <c r="AF18" s="31"/>
      <c r="AG18" s="31"/>
      <c r="AH18" s="31"/>
      <c r="AI18" s="31"/>
      <c r="AJ18" s="31"/>
      <c r="AK18" s="31"/>
      <c r="AL18" s="31"/>
      <c r="AM18" s="31"/>
      <c r="AN18" s="31"/>
      <c r="AO18" s="31"/>
      <c r="AP18" s="31"/>
      <c r="AQ18" s="31"/>
      <c r="AR18" s="31"/>
      <c r="AS18" s="31"/>
      <c r="AT18" s="31"/>
      <c r="AU18" s="31"/>
      <c r="AV18" s="31"/>
      <c r="AW18" s="31"/>
      <c r="AX18" s="31"/>
      <c r="AY18" s="31"/>
      <c r="AZ18" s="31"/>
      <c r="BA18" s="31"/>
      <c r="BB18" s="31"/>
      <c r="BC18" s="31"/>
      <c r="BD18" s="31"/>
      <c r="BE18" s="31"/>
      <c r="BF18" s="31"/>
      <c r="BG18" s="31"/>
      <c r="BH18" s="31"/>
      <c r="BI18" s="31"/>
      <c r="BJ18" s="31"/>
      <c r="BK18" s="31"/>
      <c r="BL18" s="31"/>
      <c r="BM18" s="31"/>
      <c r="BN18" s="31"/>
      <c r="BO18" s="31"/>
      <c r="BP18" s="31"/>
      <c r="BQ18" s="31"/>
      <c r="BR18" s="31"/>
      <c r="BS18" s="31"/>
      <c r="BT18" s="31"/>
      <c r="BU18" s="31"/>
      <c r="BV18" s="31"/>
      <c r="BW18" s="31"/>
      <c r="BX18" s="31"/>
      <c r="BY18" s="31"/>
      <c r="BZ18" s="31"/>
      <c r="CA18" s="31"/>
      <c r="CB18" s="31"/>
      <c r="CC18" s="31"/>
      <c r="CD18" s="31"/>
      <c r="CE18" s="31"/>
      <c r="CF18" s="31"/>
      <c r="CG18" s="31"/>
    </row>
    <row r="19" spans="1:85" s="3" customFormat="1" ht="30" customHeight="1" thickBot="1" x14ac:dyDescent="0.3">
      <c r="A19" s="45"/>
      <c r="B19" s="61" t="s">
        <v>68</v>
      </c>
      <c r="C19" s="54" t="s">
        <v>82</v>
      </c>
      <c r="D19" s="20">
        <v>0.5</v>
      </c>
      <c r="E19" s="74">
        <f>F17</f>
        <v>45990</v>
      </c>
      <c r="F19" s="74">
        <f>E19+6</f>
        <v>45996</v>
      </c>
      <c r="G19" s="14"/>
      <c r="H19" s="14">
        <f t="shared" si="24"/>
        <v>7</v>
      </c>
      <c r="I19" s="31"/>
      <c r="J19" s="31"/>
      <c r="K19" s="31"/>
      <c r="L19" s="31"/>
      <c r="M19" s="31"/>
      <c r="N19" s="31"/>
      <c r="O19" s="31"/>
      <c r="P19" s="31"/>
      <c r="Q19" s="31"/>
      <c r="R19" s="31"/>
      <c r="S19" s="31"/>
      <c r="T19" s="31"/>
      <c r="U19" s="32"/>
      <c r="V19" s="32"/>
      <c r="W19" s="31"/>
      <c r="X19" s="31"/>
      <c r="Y19" s="31"/>
      <c r="Z19" s="31"/>
      <c r="AA19" s="31"/>
      <c r="AB19" s="31"/>
      <c r="AC19" s="31"/>
      <c r="AD19" s="31"/>
      <c r="AE19" s="31"/>
      <c r="AF19" s="31"/>
      <c r="AG19" s="31"/>
      <c r="AH19" s="31"/>
      <c r="AI19" s="31"/>
      <c r="AJ19" s="31"/>
      <c r="AK19" s="31"/>
      <c r="AL19" s="31"/>
      <c r="AM19" s="31"/>
      <c r="AN19" s="31"/>
      <c r="AO19" s="31"/>
      <c r="AP19" s="31"/>
      <c r="AQ19" s="31"/>
      <c r="AR19" s="31"/>
      <c r="AS19" s="31"/>
      <c r="AT19" s="31"/>
      <c r="AU19" s="31"/>
      <c r="AV19" s="31"/>
      <c r="AW19" s="31"/>
      <c r="AX19" s="31"/>
      <c r="AY19" s="31"/>
      <c r="AZ19" s="31"/>
      <c r="BA19" s="31"/>
      <c r="BB19" s="31"/>
      <c r="BC19" s="31"/>
      <c r="BD19" s="31"/>
      <c r="BE19" s="31"/>
      <c r="BF19" s="31"/>
      <c r="BG19" s="31"/>
      <c r="BH19" s="31"/>
      <c r="BI19" s="31"/>
      <c r="BJ19" s="31"/>
      <c r="BK19" s="31"/>
      <c r="BL19" s="31"/>
      <c r="BM19" s="31"/>
      <c r="BN19" s="31"/>
      <c r="BO19" s="31"/>
      <c r="BP19" s="31"/>
      <c r="BQ19" s="31"/>
      <c r="BR19" s="31"/>
      <c r="BS19" s="31"/>
      <c r="BT19" s="31"/>
      <c r="BU19" s="31"/>
      <c r="BV19" s="31"/>
      <c r="BW19" s="31"/>
      <c r="BX19" s="31"/>
      <c r="BY19" s="31"/>
      <c r="BZ19" s="31"/>
      <c r="CA19" s="31"/>
      <c r="CB19" s="31"/>
      <c r="CC19" s="31"/>
      <c r="CD19" s="31"/>
      <c r="CE19" s="31"/>
      <c r="CF19" s="31"/>
      <c r="CG19" s="31"/>
    </row>
    <row r="20" spans="1:85" s="3" customFormat="1" ht="30" customHeight="1" thickBot="1" x14ac:dyDescent="0.3">
      <c r="A20" s="45"/>
      <c r="B20" s="61" t="s">
        <v>73</v>
      </c>
      <c r="C20" s="54" t="s">
        <v>75</v>
      </c>
      <c r="D20" s="20">
        <v>0</v>
      </c>
      <c r="E20" s="74">
        <f>F18</f>
        <v>45993</v>
      </c>
      <c r="F20" s="74">
        <f>E20+3</f>
        <v>45996</v>
      </c>
      <c r="G20" s="14"/>
      <c r="H20" s="14">
        <f t="shared" si="24"/>
        <v>4</v>
      </c>
      <c r="I20" s="31"/>
      <c r="J20" s="31"/>
      <c r="K20" s="31"/>
      <c r="L20" s="31"/>
      <c r="M20" s="31"/>
      <c r="N20" s="31"/>
      <c r="O20" s="31"/>
      <c r="P20" s="31"/>
      <c r="Q20" s="31"/>
      <c r="R20" s="31"/>
      <c r="S20" s="31"/>
      <c r="T20" s="31"/>
      <c r="U20" s="32"/>
      <c r="V20" s="32"/>
      <c r="W20" s="31"/>
      <c r="X20" s="31"/>
      <c r="Y20" s="31"/>
      <c r="Z20" s="31"/>
      <c r="AA20" s="31"/>
      <c r="AB20" s="31"/>
      <c r="AC20" s="31"/>
      <c r="AD20" s="31"/>
      <c r="AE20" s="31"/>
      <c r="AF20" s="31"/>
      <c r="AG20" s="31"/>
      <c r="AH20" s="31"/>
      <c r="AI20" s="31"/>
      <c r="AJ20" s="31"/>
      <c r="AK20" s="31"/>
      <c r="AL20" s="31"/>
      <c r="AM20" s="31"/>
      <c r="AN20" s="31"/>
      <c r="AO20" s="31"/>
      <c r="AP20" s="31"/>
      <c r="AQ20" s="31"/>
      <c r="AR20" s="31"/>
      <c r="AS20" s="31"/>
      <c r="AT20" s="31"/>
      <c r="AU20" s="31"/>
      <c r="AV20" s="31"/>
      <c r="AW20" s="31"/>
      <c r="AX20" s="31"/>
      <c r="AY20" s="31"/>
      <c r="AZ20" s="31"/>
      <c r="BA20" s="31"/>
      <c r="BB20" s="31"/>
      <c r="BC20" s="31"/>
      <c r="BD20" s="31"/>
      <c r="BE20" s="31"/>
      <c r="BF20" s="31"/>
      <c r="BG20" s="31"/>
      <c r="BH20" s="31"/>
      <c r="BI20" s="31"/>
      <c r="BJ20" s="31"/>
      <c r="BK20" s="31"/>
      <c r="BL20" s="31"/>
      <c r="BM20" s="31"/>
      <c r="BN20" s="31"/>
      <c r="BO20" s="31"/>
      <c r="BP20" s="31"/>
      <c r="BQ20" s="31"/>
      <c r="BR20" s="31"/>
      <c r="BS20" s="31"/>
      <c r="BT20" s="31"/>
      <c r="BU20" s="31"/>
      <c r="BV20" s="31"/>
      <c r="BW20" s="31"/>
      <c r="BX20" s="31"/>
      <c r="BY20" s="31"/>
      <c r="BZ20" s="31"/>
      <c r="CA20" s="31"/>
      <c r="CB20" s="31"/>
      <c r="CC20" s="31"/>
      <c r="CD20" s="31"/>
      <c r="CE20" s="31"/>
      <c r="CF20" s="31"/>
      <c r="CG20" s="31"/>
    </row>
    <row r="21" spans="1:85" s="3" customFormat="1" ht="30" customHeight="1" thickBot="1" x14ac:dyDescent="0.3">
      <c r="A21" s="45"/>
      <c r="B21" s="61" t="s">
        <v>74</v>
      </c>
      <c r="C21" s="54" t="s">
        <v>75</v>
      </c>
      <c r="D21" s="20">
        <v>0</v>
      </c>
      <c r="E21" s="74">
        <f>F18</f>
        <v>45993</v>
      </c>
      <c r="F21" s="74">
        <f>E21+3</f>
        <v>45996</v>
      </c>
      <c r="G21" s="14"/>
      <c r="H21" s="14">
        <f t="shared" si="24"/>
        <v>4</v>
      </c>
      <c r="I21" s="31"/>
      <c r="J21" s="31"/>
      <c r="K21" s="31"/>
      <c r="L21" s="31"/>
      <c r="M21" s="31"/>
      <c r="N21" s="31"/>
      <c r="O21" s="31"/>
      <c r="P21" s="31"/>
      <c r="Q21" s="31"/>
      <c r="R21" s="31"/>
      <c r="S21" s="31"/>
      <c r="T21" s="31"/>
      <c r="U21" s="32"/>
      <c r="V21" s="32"/>
      <c r="W21" s="31"/>
      <c r="X21" s="31"/>
      <c r="Y21" s="31"/>
      <c r="Z21" s="31"/>
      <c r="AA21" s="31"/>
      <c r="AB21" s="31"/>
      <c r="AC21" s="31"/>
      <c r="AD21" s="31"/>
      <c r="AE21" s="31"/>
      <c r="AF21" s="31"/>
      <c r="AG21" s="31"/>
      <c r="AH21" s="31"/>
      <c r="AI21" s="31"/>
      <c r="AJ21" s="31"/>
      <c r="AK21" s="31"/>
      <c r="AL21" s="31"/>
      <c r="AM21" s="31"/>
      <c r="AN21" s="31"/>
      <c r="AO21" s="31"/>
      <c r="AP21" s="31"/>
      <c r="AQ21" s="31"/>
      <c r="AR21" s="31"/>
      <c r="AS21" s="31"/>
      <c r="AT21" s="31"/>
      <c r="AU21" s="31"/>
      <c r="AV21" s="31"/>
      <c r="AW21" s="31"/>
      <c r="AX21" s="31"/>
      <c r="AY21" s="31"/>
      <c r="AZ21" s="31"/>
      <c r="BA21" s="31"/>
      <c r="BB21" s="31"/>
      <c r="BC21" s="31"/>
      <c r="BD21" s="31"/>
      <c r="BE21" s="31"/>
      <c r="BF21" s="31"/>
      <c r="BG21" s="31"/>
      <c r="BH21" s="31"/>
      <c r="BI21" s="31"/>
      <c r="BJ21" s="31"/>
      <c r="BK21" s="31"/>
      <c r="BL21" s="31"/>
      <c r="BM21" s="31"/>
      <c r="BN21" s="31"/>
      <c r="BO21" s="31"/>
      <c r="BP21" s="31"/>
      <c r="BQ21" s="31"/>
      <c r="BR21" s="31"/>
      <c r="BS21" s="31"/>
      <c r="BT21" s="31"/>
      <c r="BU21" s="31"/>
      <c r="BV21" s="31"/>
      <c r="BW21" s="31"/>
      <c r="BX21" s="31"/>
      <c r="BY21" s="31"/>
      <c r="BZ21" s="31"/>
      <c r="CA21" s="31"/>
      <c r="CB21" s="31"/>
      <c r="CC21" s="31"/>
      <c r="CD21" s="31"/>
      <c r="CE21" s="31"/>
      <c r="CF21" s="31"/>
      <c r="CG21" s="31"/>
    </row>
    <row r="22" spans="1:85" s="3" customFormat="1" ht="30" customHeight="1" thickBot="1" x14ac:dyDescent="0.3">
      <c r="A22" s="45"/>
      <c r="B22" s="61" t="s">
        <v>44</v>
      </c>
      <c r="C22" s="54"/>
      <c r="D22" s="20">
        <v>0</v>
      </c>
      <c r="E22" s="74">
        <f>E16</f>
        <v>45986</v>
      </c>
      <c r="F22" s="74">
        <f>E22+3</f>
        <v>45989</v>
      </c>
      <c r="G22" s="14"/>
      <c r="H22" s="14">
        <f t="shared" si="24"/>
        <v>4</v>
      </c>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c r="AH22" s="31"/>
      <c r="AI22" s="31"/>
      <c r="AJ22" s="31"/>
      <c r="AK22" s="31"/>
      <c r="AL22" s="31"/>
      <c r="AM22" s="31"/>
      <c r="AN22" s="31"/>
      <c r="AO22" s="31"/>
      <c r="AP22" s="31"/>
      <c r="AQ22" s="31"/>
      <c r="AR22" s="31"/>
      <c r="AS22" s="31"/>
      <c r="AT22" s="31"/>
      <c r="AU22" s="31"/>
      <c r="AV22" s="31"/>
      <c r="AW22" s="31"/>
      <c r="AX22" s="31"/>
      <c r="AY22" s="31"/>
      <c r="AZ22" s="31"/>
      <c r="BA22" s="31"/>
      <c r="BB22" s="31"/>
      <c r="BC22" s="31"/>
      <c r="BD22" s="31"/>
      <c r="BE22" s="31"/>
      <c r="BF22" s="31"/>
      <c r="BG22" s="31"/>
      <c r="BH22" s="31"/>
      <c r="BI22" s="31"/>
      <c r="BJ22" s="31"/>
      <c r="BK22" s="31"/>
      <c r="BL22" s="31"/>
      <c r="BM22" s="31"/>
      <c r="BN22" s="31"/>
      <c r="BO22" s="31"/>
      <c r="BP22" s="31"/>
      <c r="BQ22" s="31"/>
      <c r="BR22" s="31"/>
      <c r="BS22" s="31"/>
      <c r="BT22" s="31"/>
      <c r="BU22" s="31"/>
      <c r="BV22" s="31"/>
      <c r="BW22" s="31"/>
      <c r="BX22" s="31"/>
      <c r="BY22" s="31"/>
      <c r="BZ22" s="31"/>
      <c r="CA22" s="31"/>
      <c r="CB22" s="31"/>
      <c r="CC22" s="31"/>
      <c r="CD22" s="31"/>
      <c r="CE22" s="31"/>
      <c r="CF22" s="31"/>
      <c r="CG22" s="31"/>
    </row>
    <row r="23" spans="1:85" s="3" customFormat="1" ht="30" customHeight="1" thickBot="1" x14ac:dyDescent="0.3">
      <c r="A23" s="45"/>
      <c r="B23" s="61" t="s">
        <v>76</v>
      </c>
      <c r="C23" s="54" t="s">
        <v>78</v>
      </c>
      <c r="D23" s="20">
        <v>0</v>
      </c>
      <c r="E23" s="74">
        <f>F22</f>
        <v>45989</v>
      </c>
      <c r="F23" s="74">
        <f>E23+3</f>
        <v>45992</v>
      </c>
      <c r="G23" s="14"/>
      <c r="H23" s="14">
        <f t="shared" si="24"/>
        <v>4</v>
      </c>
      <c r="I23" s="31"/>
      <c r="J23" s="31"/>
      <c r="K23" s="31"/>
      <c r="L23" s="31"/>
      <c r="M23" s="31"/>
      <c r="N23" s="31"/>
      <c r="O23" s="31"/>
      <c r="P23" s="31"/>
      <c r="Q23" s="31"/>
      <c r="R23" s="31"/>
      <c r="S23" s="31"/>
      <c r="T23" s="31"/>
      <c r="U23" s="31"/>
      <c r="V23" s="31"/>
      <c r="W23" s="31"/>
      <c r="X23" s="31"/>
      <c r="Y23" s="32"/>
      <c r="Z23" s="31"/>
      <c r="AA23" s="31"/>
      <c r="AB23" s="31"/>
      <c r="AC23" s="31"/>
      <c r="AD23" s="31"/>
      <c r="AE23" s="31"/>
      <c r="AF23" s="31"/>
      <c r="AG23" s="31"/>
      <c r="AH23" s="31"/>
      <c r="AI23" s="31"/>
      <c r="AJ23" s="31"/>
      <c r="AK23" s="31"/>
      <c r="AL23" s="31"/>
      <c r="AM23" s="31"/>
      <c r="AN23" s="31"/>
      <c r="AO23" s="31"/>
      <c r="AP23" s="31"/>
      <c r="AQ23" s="31"/>
      <c r="AR23" s="31"/>
      <c r="AS23" s="31"/>
      <c r="AT23" s="31"/>
      <c r="AU23" s="31"/>
      <c r="AV23" s="31"/>
      <c r="AW23" s="31"/>
      <c r="AX23" s="31"/>
      <c r="AY23" s="31"/>
      <c r="AZ23" s="31"/>
      <c r="BA23" s="31"/>
      <c r="BB23" s="31"/>
      <c r="BC23" s="31"/>
      <c r="BD23" s="31"/>
      <c r="BE23" s="31"/>
      <c r="BF23" s="31"/>
      <c r="BG23" s="31"/>
      <c r="BH23" s="31"/>
      <c r="BI23" s="31"/>
      <c r="BJ23" s="31"/>
      <c r="BK23" s="31"/>
      <c r="BL23" s="31"/>
      <c r="BM23" s="31"/>
      <c r="BN23" s="31"/>
      <c r="BO23" s="31"/>
      <c r="BP23" s="31"/>
      <c r="BQ23" s="31"/>
      <c r="BR23" s="31"/>
      <c r="BS23" s="31"/>
      <c r="BT23" s="31"/>
      <c r="BU23" s="31"/>
      <c r="BV23" s="31"/>
      <c r="BW23" s="31"/>
      <c r="BX23" s="31"/>
      <c r="BY23" s="31"/>
      <c r="BZ23" s="31"/>
      <c r="CA23" s="31"/>
      <c r="CB23" s="31"/>
      <c r="CC23" s="31"/>
      <c r="CD23" s="31"/>
      <c r="CE23" s="31"/>
      <c r="CF23" s="31"/>
      <c r="CG23" s="31"/>
    </row>
    <row r="24" spans="1:85" s="3" customFormat="1" ht="30" customHeight="1" thickBot="1" x14ac:dyDescent="0.3">
      <c r="A24" s="45"/>
      <c r="B24" s="61" t="s">
        <v>77</v>
      </c>
      <c r="C24" s="54" t="s">
        <v>60</v>
      </c>
      <c r="D24" s="20">
        <v>0</v>
      </c>
      <c r="E24" s="74">
        <f>F22</f>
        <v>45989</v>
      </c>
      <c r="F24" s="74">
        <f>E24+5</f>
        <v>45994</v>
      </c>
      <c r="G24" s="14"/>
      <c r="H24" s="14">
        <f t="shared" si="24"/>
        <v>6</v>
      </c>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c r="BM24" s="31"/>
      <c r="BN24" s="31"/>
      <c r="BO24" s="31"/>
      <c r="BP24" s="31"/>
      <c r="BQ24" s="31"/>
      <c r="BR24" s="31"/>
      <c r="BS24" s="31"/>
      <c r="BT24" s="31"/>
      <c r="BU24" s="31"/>
      <c r="BV24" s="31"/>
      <c r="BW24" s="31"/>
      <c r="BX24" s="31"/>
      <c r="BY24" s="31"/>
      <c r="BZ24" s="31"/>
      <c r="CA24" s="31"/>
      <c r="CB24" s="31"/>
      <c r="CC24" s="31"/>
      <c r="CD24" s="31"/>
      <c r="CE24" s="31"/>
      <c r="CF24" s="31"/>
      <c r="CG24" s="31"/>
    </row>
    <row r="25" spans="1:85" s="3" customFormat="1" ht="30" customHeight="1" thickBot="1" x14ac:dyDescent="0.3">
      <c r="A25" s="45" t="s">
        <v>11</v>
      </c>
      <c r="B25" s="21" t="s">
        <v>71</v>
      </c>
      <c r="C25" s="55"/>
      <c r="D25" s="22"/>
      <c r="E25" s="75">
        <f>MAX(F17:F24)</f>
        <v>45996</v>
      </c>
      <c r="F25" s="76"/>
      <c r="G25" s="14"/>
      <c r="H25" s="14" t="str">
        <f t="shared" si="24"/>
        <v/>
      </c>
      <c r="I25" s="31"/>
      <c r="J25" s="31"/>
      <c r="K25" s="31"/>
      <c r="L25" s="31"/>
      <c r="M25" s="31"/>
      <c r="N25" s="31"/>
      <c r="O25" s="31"/>
      <c r="P25" s="31"/>
      <c r="Q25" s="31"/>
      <c r="R25" s="31"/>
      <c r="S25" s="31"/>
      <c r="T25" s="31"/>
      <c r="U25" s="31"/>
      <c r="V25" s="31"/>
      <c r="W25" s="31"/>
      <c r="X25" s="31"/>
      <c r="Y25" s="31"/>
      <c r="Z25" s="31"/>
      <c r="AA25" s="31"/>
      <c r="AB25" s="31"/>
      <c r="AC25" s="31"/>
      <c r="AD25" s="31"/>
      <c r="AE25" s="31"/>
      <c r="AF25" s="31"/>
      <c r="AG25" s="31"/>
      <c r="AH25" s="31"/>
      <c r="AI25" s="31"/>
      <c r="AJ25" s="31"/>
      <c r="AK25" s="31"/>
      <c r="AL25" s="31"/>
      <c r="AM25" s="31"/>
      <c r="AN25" s="31"/>
      <c r="AO25" s="31"/>
      <c r="AP25" s="31"/>
      <c r="AQ25" s="31"/>
      <c r="AR25" s="31"/>
      <c r="AS25" s="31"/>
      <c r="AT25" s="31"/>
      <c r="AU25" s="31"/>
      <c r="AV25" s="31"/>
      <c r="AW25" s="31"/>
      <c r="AX25" s="31"/>
      <c r="AY25" s="31"/>
      <c r="AZ25" s="31"/>
      <c r="BA25" s="31"/>
      <c r="BB25" s="31"/>
      <c r="BC25" s="31"/>
      <c r="BD25" s="31"/>
      <c r="BE25" s="31"/>
      <c r="BF25" s="31"/>
      <c r="BG25" s="31"/>
      <c r="BH25" s="31"/>
      <c r="BI25" s="31"/>
      <c r="BJ25" s="31"/>
      <c r="BK25" s="31"/>
      <c r="BL25" s="31"/>
      <c r="BM25" s="31"/>
      <c r="BN25" s="31"/>
      <c r="BO25" s="31"/>
      <c r="BP25" s="31"/>
      <c r="BQ25" s="31"/>
      <c r="BR25" s="31"/>
      <c r="BS25" s="31"/>
      <c r="BT25" s="31"/>
      <c r="BU25" s="31"/>
      <c r="BV25" s="31"/>
      <c r="BW25" s="31"/>
      <c r="BX25" s="31"/>
      <c r="BY25" s="31"/>
      <c r="BZ25" s="31"/>
      <c r="CA25" s="31"/>
      <c r="CB25" s="31"/>
      <c r="CC25" s="31"/>
      <c r="CD25" s="31"/>
      <c r="CE25" s="31"/>
      <c r="CF25" s="31"/>
      <c r="CG25" s="31"/>
    </row>
    <row r="26" spans="1:85" s="3" customFormat="1" ht="30" customHeight="1" thickBot="1" x14ac:dyDescent="0.3">
      <c r="A26" s="45"/>
      <c r="B26" s="62" t="s">
        <v>46</v>
      </c>
      <c r="C26" s="56"/>
      <c r="D26" s="23">
        <v>0</v>
      </c>
      <c r="E26" s="77">
        <f>E25</f>
        <v>45996</v>
      </c>
      <c r="F26" s="77">
        <f>E26+7</f>
        <v>46003</v>
      </c>
      <c r="G26" s="14"/>
      <c r="H26" s="14">
        <f t="shared" si="24"/>
        <v>8</v>
      </c>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c r="AR26" s="31"/>
      <c r="AS26" s="31"/>
      <c r="AT26" s="31"/>
      <c r="AU26" s="31"/>
      <c r="AV26" s="31"/>
      <c r="AW26" s="31"/>
      <c r="AX26" s="31"/>
      <c r="AY26" s="31"/>
      <c r="AZ26" s="31"/>
      <c r="BA26" s="31"/>
      <c r="BB26" s="31"/>
      <c r="BC26" s="31"/>
      <c r="BD26" s="31"/>
      <c r="BE26" s="31"/>
      <c r="BF26" s="31"/>
      <c r="BG26" s="31"/>
      <c r="BH26" s="31"/>
      <c r="BI26" s="31"/>
      <c r="BJ26" s="31"/>
      <c r="BK26" s="31"/>
      <c r="BL26" s="31"/>
      <c r="BM26" s="31"/>
      <c r="BN26" s="31"/>
      <c r="BO26" s="31"/>
      <c r="BP26" s="31"/>
      <c r="BQ26" s="31"/>
      <c r="BR26" s="31"/>
      <c r="BS26" s="31"/>
      <c r="BT26" s="31"/>
      <c r="BU26" s="31"/>
      <c r="BV26" s="31"/>
      <c r="BW26" s="31"/>
      <c r="BX26" s="31"/>
      <c r="BY26" s="31"/>
      <c r="BZ26" s="31"/>
      <c r="CA26" s="31"/>
      <c r="CB26" s="31"/>
      <c r="CC26" s="31"/>
      <c r="CD26" s="31"/>
      <c r="CE26" s="31"/>
      <c r="CF26" s="31"/>
      <c r="CG26" s="31"/>
    </row>
    <row r="27" spans="1:85" s="3" customFormat="1" ht="30" customHeight="1" thickBot="1" x14ac:dyDescent="0.3">
      <c r="A27" s="45"/>
      <c r="B27" s="62" t="s">
        <v>47</v>
      </c>
      <c r="C27" s="56"/>
      <c r="D27" s="23">
        <v>0</v>
      </c>
      <c r="E27" s="77">
        <f>E25</f>
        <v>45996</v>
      </c>
      <c r="F27" s="77">
        <f>E27+14</f>
        <v>46010</v>
      </c>
      <c r="G27" s="14"/>
      <c r="H27" s="14">
        <f t="shared" si="24"/>
        <v>15</v>
      </c>
      <c r="I27" s="31"/>
      <c r="J27" s="31"/>
      <c r="K27" s="31"/>
      <c r="L27" s="31"/>
      <c r="M27" s="31"/>
      <c r="N27" s="31"/>
      <c r="O27" s="31"/>
      <c r="P27" s="31"/>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c r="AR27" s="31"/>
      <c r="AS27" s="31"/>
      <c r="AT27" s="31"/>
      <c r="AU27" s="31"/>
      <c r="AV27" s="31"/>
      <c r="AW27" s="31"/>
      <c r="AX27" s="31"/>
      <c r="AY27" s="31"/>
      <c r="AZ27" s="31"/>
      <c r="BA27" s="31"/>
      <c r="BB27" s="31"/>
      <c r="BC27" s="31"/>
      <c r="BD27" s="31"/>
      <c r="BE27" s="31"/>
      <c r="BF27" s="31"/>
      <c r="BG27" s="31"/>
      <c r="BH27" s="31"/>
      <c r="BI27" s="31"/>
      <c r="BJ27" s="31"/>
      <c r="BK27" s="31"/>
      <c r="BL27" s="31"/>
      <c r="BM27" s="31"/>
      <c r="BN27" s="31"/>
      <c r="BO27" s="31"/>
      <c r="BP27" s="31"/>
      <c r="BQ27" s="31"/>
      <c r="BR27" s="31"/>
      <c r="BS27" s="31"/>
      <c r="BT27" s="31"/>
      <c r="BU27" s="31"/>
      <c r="BV27" s="31"/>
      <c r="BW27" s="31"/>
      <c r="BX27" s="31"/>
      <c r="BY27" s="31"/>
      <c r="BZ27" s="31"/>
      <c r="CA27" s="31"/>
      <c r="CB27" s="31"/>
      <c r="CC27" s="31"/>
      <c r="CD27" s="31"/>
      <c r="CE27" s="31"/>
      <c r="CF27" s="31"/>
      <c r="CG27" s="31"/>
    </row>
    <row r="28" spans="1:85" s="3" customFormat="1" ht="30" customHeight="1" thickBot="1" x14ac:dyDescent="0.3">
      <c r="A28" s="45"/>
      <c r="B28" s="62" t="s">
        <v>48</v>
      </c>
      <c r="C28" s="56"/>
      <c r="D28" s="23">
        <v>0</v>
      </c>
      <c r="E28" s="77">
        <f>E25</f>
        <v>45996</v>
      </c>
      <c r="F28" s="77">
        <f>E28+14</f>
        <v>46010</v>
      </c>
      <c r="G28" s="14"/>
      <c r="H28" s="14">
        <f t="shared" si="24"/>
        <v>15</v>
      </c>
      <c r="I28" s="31"/>
      <c r="J28" s="31"/>
      <c r="K28" s="31"/>
      <c r="L28" s="31"/>
      <c r="M28" s="31"/>
      <c r="N28" s="31"/>
      <c r="O28" s="31"/>
      <c r="P28" s="31"/>
      <c r="Q28" s="31"/>
      <c r="R28" s="31"/>
      <c r="S28" s="31"/>
      <c r="T28" s="31"/>
      <c r="U28" s="31"/>
      <c r="V28" s="31"/>
      <c r="W28" s="31"/>
      <c r="X28" s="31"/>
      <c r="Y28" s="31"/>
      <c r="Z28" s="31"/>
      <c r="AA28" s="31"/>
      <c r="AB28" s="31"/>
      <c r="AC28" s="31"/>
      <c r="AD28" s="31"/>
      <c r="AE28" s="31"/>
      <c r="AF28" s="31"/>
      <c r="AG28" s="31"/>
      <c r="AH28" s="31"/>
      <c r="AI28" s="31"/>
      <c r="AJ28" s="31"/>
      <c r="AK28" s="31"/>
      <c r="AL28" s="31"/>
      <c r="AM28" s="31"/>
      <c r="AN28" s="31"/>
      <c r="AO28" s="31"/>
      <c r="AP28" s="31"/>
      <c r="AQ28" s="31"/>
      <c r="AR28" s="31"/>
      <c r="AS28" s="31"/>
      <c r="AT28" s="31"/>
      <c r="AU28" s="31"/>
      <c r="AV28" s="31"/>
      <c r="AW28" s="31"/>
      <c r="AX28" s="31"/>
      <c r="AY28" s="31"/>
      <c r="AZ28" s="31"/>
      <c r="BA28" s="31"/>
      <c r="BB28" s="31"/>
      <c r="BC28" s="31"/>
      <c r="BD28" s="31"/>
      <c r="BE28" s="31"/>
      <c r="BF28" s="31"/>
      <c r="BG28" s="31"/>
      <c r="BH28" s="31"/>
      <c r="BI28" s="31"/>
      <c r="BJ28" s="31"/>
      <c r="BK28" s="31"/>
      <c r="BL28" s="31"/>
      <c r="BM28" s="31"/>
      <c r="BN28" s="31"/>
      <c r="BO28" s="31"/>
      <c r="BP28" s="31"/>
      <c r="BQ28" s="31"/>
      <c r="BR28" s="31"/>
      <c r="BS28" s="31"/>
      <c r="BT28" s="31"/>
      <c r="BU28" s="31"/>
      <c r="BV28" s="31"/>
      <c r="BW28" s="31"/>
      <c r="BX28" s="31"/>
      <c r="BY28" s="31"/>
      <c r="BZ28" s="31"/>
      <c r="CA28" s="31"/>
      <c r="CB28" s="31"/>
      <c r="CC28" s="31"/>
      <c r="CD28" s="31"/>
      <c r="CE28" s="31"/>
      <c r="CF28" s="31"/>
      <c r="CG28" s="31"/>
    </row>
    <row r="29" spans="1:85" s="3" customFormat="1" ht="30" customHeight="1" thickBot="1" x14ac:dyDescent="0.3">
      <c r="A29" s="45"/>
      <c r="B29" s="62" t="s">
        <v>50</v>
      </c>
      <c r="C29" s="56"/>
      <c r="D29" s="23">
        <v>0</v>
      </c>
      <c r="E29" s="77">
        <f>F26</f>
        <v>46003</v>
      </c>
      <c r="F29" s="77">
        <f>E29+14</f>
        <v>46017</v>
      </c>
      <c r="G29" s="14"/>
      <c r="H29" s="14">
        <f t="shared" si="24"/>
        <v>15</v>
      </c>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c r="AR29" s="31"/>
      <c r="AS29" s="31"/>
      <c r="AT29" s="31"/>
      <c r="AU29" s="31"/>
      <c r="AV29" s="31"/>
      <c r="AW29" s="31"/>
      <c r="AX29" s="31"/>
      <c r="AY29" s="31"/>
      <c r="AZ29" s="31"/>
      <c r="BA29" s="31"/>
      <c r="BB29" s="31"/>
      <c r="BC29" s="31"/>
      <c r="BD29" s="31"/>
      <c r="BE29" s="31"/>
      <c r="BF29" s="31"/>
      <c r="BG29" s="31"/>
      <c r="BH29" s="31"/>
      <c r="BI29" s="31"/>
      <c r="BJ29" s="31"/>
      <c r="BK29" s="31"/>
      <c r="BL29" s="31"/>
      <c r="BM29" s="31"/>
      <c r="BN29" s="31"/>
      <c r="BO29" s="31"/>
      <c r="BP29" s="31"/>
      <c r="BQ29" s="31"/>
      <c r="BR29" s="31"/>
      <c r="BS29" s="31"/>
      <c r="BT29" s="31"/>
      <c r="BU29" s="31"/>
      <c r="BV29" s="31"/>
      <c r="BW29" s="31"/>
      <c r="BX29" s="31"/>
      <c r="BY29" s="31"/>
      <c r="BZ29" s="31"/>
      <c r="CA29" s="31"/>
      <c r="CB29" s="31"/>
      <c r="CC29" s="31"/>
      <c r="CD29" s="31"/>
      <c r="CE29" s="31"/>
      <c r="CF29" s="31"/>
      <c r="CG29" s="31"/>
    </row>
    <row r="30" spans="1:85" s="3" customFormat="1" ht="30" customHeight="1" thickBot="1" x14ac:dyDescent="0.3">
      <c r="A30" s="45"/>
      <c r="B30" s="62" t="s">
        <v>56</v>
      </c>
      <c r="C30" s="56"/>
      <c r="D30" s="23">
        <v>0</v>
      </c>
      <c r="E30" s="77">
        <f>F27</f>
        <v>46010</v>
      </c>
      <c r="F30" s="77">
        <f>E30+5</f>
        <v>46015</v>
      </c>
      <c r="G30" s="14"/>
      <c r="H30" s="14">
        <f t="shared" si="24"/>
        <v>6</v>
      </c>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c r="AR30" s="31"/>
      <c r="AS30" s="31"/>
      <c r="AT30" s="31"/>
      <c r="AU30" s="31"/>
      <c r="AV30" s="31"/>
      <c r="AW30" s="31"/>
      <c r="AX30" s="31"/>
      <c r="AY30" s="31"/>
      <c r="AZ30" s="31"/>
      <c r="BA30" s="31"/>
      <c r="BB30" s="31"/>
      <c r="BC30" s="31"/>
      <c r="BD30" s="31"/>
      <c r="BE30" s="31"/>
      <c r="BF30" s="31"/>
      <c r="BG30" s="31"/>
      <c r="BH30" s="31"/>
      <c r="BI30" s="31"/>
      <c r="BJ30" s="31"/>
      <c r="BK30" s="31"/>
      <c r="BL30" s="31"/>
      <c r="BM30" s="31"/>
      <c r="BN30" s="31"/>
      <c r="BO30" s="31"/>
      <c r="BP30" s="31"/>
      <c r="BQ30" s="31"/>
      <c r="BR30" s="31"/>
      <c r="BS30" s="31"/>
      <c r="BT30" s="31"/>
      <c r="BU30" s="31"/>
      <c r="BV30" s="31"/>
      <c r="BW30" s="31"/>
      <c r="BX30" s="31"/>
      <c r="BY30" s="31"/>
      <c r="BZ30" s="31"/>
      <c r="CA30" s="31"/>
      <c r="CB30" s="31"/>
      <c r="CC30" s="31"/>
      <c r="CD30" s="31"/>
      <c r="CE30" s="31"/>
      <c r="CF30" s="31"/>
      <c r="CG30" s="31"/>
    </row>
    <row r="31" spans="1:85" s="3" customFormat="1" ht="30" customHeight="1" thickBot="1" x14ac:dyDescent="0.3">
      <c r="A31" s="45" t="s">
        <v>57</v>
      </c>
      <c r="B31" s="62" t="s">
        <v>58</v>
      </c>
      <c r="C31" s="56"/>
      <c r="D31" s="23">
        <v>0</v>
      </c>
      <c r="E31" s="77">
        <f>F30</f>
        <v>46015</v>
      </c>
      <c r="F31" s="77">
        <f>E31+3</f>
        <v>46018</v>
      </c>
      <c r="G31" s="14"/>
      <c r="H31" s="14">
        <f t="shared" si="24"/>
        <v>4</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row>
    <row r="32" spans="1:85" s="3" customFormat="1" ht="30" customHeight="1" thickBot="1" x14ac:dyDescent="0.3">
      <c r="A32" s="45"/>
      <c r="B32" s="62" t="s">
        <v>49</v>
      </c>
      <c r="C32" s="56"/>
      <c r="D32" s="23">
        <v>0</v>
      </c>
      <c r="E32" s="77">
        <f>F27</f>
        <v>46010</v>
      </c>
      <c r="F32" s="77">
        <f>E32+4</f>
        <v>46014</v>
      </c>
      <c r="G32" s="14"/>
      <c r="H32" s="14">
        <f t="shared" si="24"/>
        <v>5</v>
      </c>
      <c r="I32" s="31"/>
      <c r="J32" s="31"/>
      <c r="K32" s="31"/>
      <c r="L32" s="31"/>
      <c r="M32" s="31"/>
      <c r="N32" s="31"/>
      <c r="O32" s="31"/>
      <c r="P32" s="31"/>
      <c r="Q32" s="31"/>
      <c r="R32" s="31"/>
      <c r="S32" s="31"/>
      <c r="T32" s="31"/>
      <c r="U32" s="31"/>
      <c r="V32" s="31"/>
      <c r="W32" s="31"/>
      <c r="X32" s="31"/>
      <c r="Y32" s="31"/>
      <c r="Z32" s="31"/>
      <c r="AA32" s="31"/>
      <c r="AB32" s="31"/>
      <c r="AC32" s="31"/>
      <c r="AD32" s="31"/>
      <c r="AE32" s="31"/>
      <c r="AF32" s="31"/>
      <c r="AG32" s="31"/>
      <c r="AH32" s="31"/>
      <c r="AI32" s="31"/>
      <c r="AJ32" s="31"/>
      <c r="AK32" s="31"/>
      <c r="AL32" s="31"/>
      <c r="AM32" s="31"/>
      <c r="AN32" s="31"/>
      <c r="AO32" s="31"/>
      <c r="AP32" s="31"/>
      <c r="AQ32" s="31"/>
      <c r="AR32" s="31"/>
      <c r="AS32" s="31"/>
      <c r="AT32" s="31"/>
      <c r="AU32" s="31"/>
      <c r="AV32" s="31"/>
      <c r="AW32" s="31"/>
      <c r="AX32" s="31"/>
      <c r="AY32" s="31"/>
      <c r="AZ32" s="31"/>
      <c r="BA32" s="31"/>
      <c r="BB32" s="31"/>
      <c r="BC32" s="31"/>
      <c r="BD32" s="31"/>
      <c r="BE32" s="31"/>
      <c r="BF32" s="31"/>
      <c r="BG32" s="31"/>
      <c r="BH32" s="31"/>
      <c r="BI32" s="31"/>
      <c r="BJ32" s="31"/>
      <c r="BK32" s="31"/>
      <c r="BL32" s="31"/>
      <c r="BM32" s="31"/>
      <c r="BN32" s="31"/>
      <c r="BO32" s="31"/>
      <c r="BP32" s="31"/>
      <c r="BQ32" s="31"/>
      <c r="BR32" s="31"/>
      <c r="BS32" s="31"/>
      <c r="BT32" s="31"/>
      <c r="BU32" s="31"/>
      <c r="BV32" s="31"/>
      <c r="BW32" s="31"/>
      <c r="BX32" s="31"/>
      <c r="BY32" s="31"/>
      <c r="BZ32" s="31"/>
      <c r="CA32" s="31"/>
      <c r="CB32" s="31"/>
      <c r="CC32" s="31"/>
      <c r="CD32" s="31"/>
      <c r="CE32" s="31"/>
      <c r="CF32" s="31"/>
      <c r="CG32" s="31"/>
    </row>
    <row r="33" spans="1:85" s="3" customFormat="1" ht="30" customHeight="1" thickBot="1" x14ac:dyDescent="0.3">
      <c r="A33" s="45" t="s">
        <v>11</v>
      </c>
      <c r="B33" s="24" t="s">
        <v>72</v>
      </c>
      <c r="C33" s="57"/>
      <c r="D33" s="25"/>
      <c r="E33" s="78">
        <f>MAX(F26:F32)</f>
        <v>46018</v>
      </c>
      <c r="F33" s="79"/>
      <c r="G33" s="14"/>
      <c r="H33" s="14" t="str">
        <f t="shared" si="24"/>
        <v/>
      </c>
      <c r="I33" s="31"/>
      <c r="J33" s="31"/>
      <c r="K33" s="31"/>
      <c r="L33" s="31"/>
      <c r="M33" s="31"/>
      <c r="N33" s="31"/>
      <c r="O33" s="31"/>
      <c r="P33" s="31"/>
      <c r="Q33" s="31"/>
      <c r="R33" s="31"/>
      <c r="S33" s="31"/>
      <c r="T33" s="31"/>
      <c r="U33" s="31"/>
      <c r="V33" s="31"/>
      <c r="W33" s="31"/>
      <c r="X33" s="31"/>
      <c r="Y33" s="31"/>
      <c r="Z33" s="31"/>
      <c r="AA33" s="31"/>
      <c r="AB33" s="31"/>
      <c r="AC33" s="31"/>
      <c r="AD33" s="31"/>
      <c r="AE33" s="31"/>
      <c r="AF33" s="31"/>
      <c r="AG33" s="31"/>
      <c r="AH33" s="31"/>
      <c r="AI33" s="31"/>
      <c r="AJ33" s="31"/>
      <c r="AK33" s="31"/>
      <c r="AL33" s="31"/>
      <c r="AM33" s="31"/>
      <c r="AN33" s="31"/>
      <c r="AO33" s="31"/>
      <c r="AP33" s="31"/>
      <c r="AQ33" s="31"/>
      <c r="AR33" s="31"/>
      <c r="AS33" s="31"/>
      <c r="AT33" s="31"/>
      <c r="AU33" s="31"/>
      <c r="AV33" s="31"/>
      <c r="AW33" s="31"/>
      <c r="AX33" s="31"/>
      <c r="AY33" s="31"/>
      <c r="AZ33" s="31"/>
      <c r="BA33" s="31"/>
      <c r="BB33" s="31"/>
      <c r="BC33" s="31"/>
      <c r="BD33" s="31"/>
      <c r="BE33" s="31"/>
      <c r="BF33" s="31"/>
      <c r="BG33" s="31"/>
      <c r="BH33" s="31"/>
      <c r="BI33" s="31"/>
      <c r="BJ33" s="31"/>
      <c r="BK33" s="31"/>
      <c r="BL33" s="31"/>
      <c r="BM33" s="31"/>
      <c r="BN33" s="31"/>
      <c r="BO33" s="31"/>
      <c r="BP33" s="31"/>
      <c r="BQ33" s="31"/>
      <c r="BR33" s="31"/>
      <c r="BS33" s="31"/>
      <c r="BT33" s="31"/>
      <c r="BU33" s="31"/>
      <c r="BV33" s="31"/>
      <c r="BW33" s="31"/>
      <c r="BX33" s="31"/>
      <c r="BY33" s="31"/>
      <c r="BZ33" s="31"/>
      <c r="CA33" s="31"/>
      <c r="CB33" s="31"/>
      <c r="CC33" s="31"/>
      <c r="CD33" s="31"/>
      <c r="CE33" s="31"/>
      <c r="CF33" s="31"/>
      <c r="CG33" s="31"/>
    </row>
    <row r="34" spans="1:85" s="3" customFormat="1" ht="30" customHeight="1" thickBot="1" x14ac:dyDescent="0.3">
      <c r="A34" s="45"/>
      <c r="B34" s="63" t="s">
        <v>51</v>
      </c>
      <c r="C34" s="58"/>
      <c r="D34" s="26">
        <v>0</v>
      </c>
      <c r="E34" s="80">
        <f>E33</f>
        <v>46018</v>
      </c>
      <c r="F34" s="80">
        <f>E34+7</f>
        <v>46025</v>
      </c>
      <c r="G34" s="14"/>
      <c r="H34" s="14">
        <f t="shared" si="24"/>
        <v>8</v>
      </c>
      <c r="I34" s="31"/>
      <c r="J34" s="31"/>
      <c r="K34" s="31"/>
      <c r="L34" s="31"/>
      <c r="M34" s="31"/>
      <c r="N34" s="31"/>
      <c r="O34" s="31"/>
      <c r="P34" s="31"/>
      <c r="Q34" s="31"/>
      <c r="R34" s="31"/>
      <c r="S34" s="31"/>
      <c r="T34" s="31"/>
      <c r="U34" s="31"/>
      <c r="V34" s="31"/>
      <c r="W34" s="31"/>
      <c r="X34" s="31"/>
      <c r="Y34" s="31"/>
      <c r="Z34" s="31"/>
      <c r="AA34" s="31"/>
      <c r="AB34" s="31"/>
      <c r="AC34" s="31"/>
      <c r="AD34" s="31"/>
      <c r="AE34" s="31"/>
      <c r="AF34" s="31"/>
      <c r="AG34" s="31"/>
      <c r="AH34" s="31"/>
      <c r="AI34" s="31"/>
      <c r="AJ34" s="31"/>
      <c r="AK34" s="31"/>
      <c r="AL34" s="31"/>
      <c r="AM34" s="31"/>
      <c r="AN34" s="31"/>
      <c r="AO34" s="31"/>
      <c r="AP34" s="31"/>
      <c r="AQ34" s="31"/>
      <c r="AR34" s="31"/>
      <c r="AS34" s="31"/>
      <c r="AT34" s="31"/>
      <c r="AU34" s="31"/>
      <c r="AV34" s="31"/>
      <c r="AW34" s="31"/>
      <c r="AX34" s="31"/>
      <c r="AY34" s="31"/>
      <c r="AZ34" s="31"/>
      <c r="BA34" s="31"/>
      <c r="BB34" s="31"/>
      <c r="BC34" s="31"/>
      <c r="BD34" s="31"/>
      <c r="BE34" s="31"/>
      <c r="BF34" s="31"/>
      <c r="BG34" s="31"/>
      <c r="BH34" s="31"/>
      <c r="BI34" s="31"/>
      <c r="BJ34" s="31"/>
      <c r="BK34" s="31"/>
      <c r="BL34" s="31"/>
      <c r="BM34" s="31"/>
      <c r="BN34" s="31"/>
      <c r="BO34" s="31"/>
      <c r="BP34" s="31"/>
      <c r="BQ34" s="31"/>
      <c r="BR34" s="31"/>
      <c r="BS34" s="31"/>
      <c r="BT34" s="31"/>
      <c r="BU34" s="31"/>
      <c r="BV34" s="31"/>
      <c r="BW34" s="31"/>
      <c r="BX34" s="31"/>
      <c r="BY34" s="31"/>
      <c r="BZ34" s="31"/>
      <c r="CA34" s="31"/>
      <c r="CB34" s="31"/>
      <c r="CC34" s="31"/>
      <c r="CD34" s="31"/>
      <c r="CE34" s="31"/>
      <c r="CF34" s="31"/>
      <c r="CG34" s="31"/>
    </row>
    <row r="35" spans="1:85" s="3" customFormat="1" ht="30" customHeight="1" thickBot="1" x14ac:dyDescent="0.3">
      <c r="A35" s="45"/>
      <c r="B35" s="63" t="s">
        <v>52</v>
      </c>
      <c r="C35" s="58"/>
      <c r="D35" s="26">
        <v>0</v>
      </c>
      <c r="E35" s="80">
        <f>E33</f>
        <v>46018</v>
      </c>
      <c r="F35" s="80">
        <f>E35+5</f>
        <v>46023</v>
      </c>
      <c r="G35" s="14"/>
      <c r="H35" s="14">
        <f t="shared" si="24"/>
        <v>6</v>
      </c>
      <c r="I35" s="31"/>
      <c r="J35" s="31"/>
      <c r="K35" s="31"/>
      <c r="L35" s="31"/>
      <c r="M35" s="31"/>
      <c r="N35" s="31"/>
      <c r="O35" s="31"/>
      <c r="P35" s="31"/>
      <c r="Q35" s="31"/>
      <c r="R35" s="31"/>
      <c r="S35" s="31"/>
      <c r="T35" s="31"/>
      <c r="U35" s="31"/>
      <c r="V35" s="31"/>
      <c r="W35" s="31"/>
      <c r="X35" s="31"/>
      <c r="Y35" s="31"/>
      <c r="Z35" s="31"/>
      <c r="AA35" s="31"/>
      <c r="AB35" s="31"/>
      <c r="AC35" s="31"/>
      <c r="AD35" s="31"/>
      <c r="AE35" s="31"/>
      <c r="AF35" s="31"/>
      <c r="AG35" s="31"/>
      <c r="AH35" s="31"/>
      <c r="AI35" s="31"/>
      <c r="AJ35" s="31"/>
      <c r="AK35" s="31"/>
      <c r="AL35" s="31"/>
      <c r="AM35" s="31"/>
      <c r="AN35" s="31"/>
      <c r="AO35" s="31"/>
      <c r="AP35" s="31"/>
      <c r="AQ35" s="31"/>
      <c r="AR35" s="31"/>
      <c r="AS35" s="31"/>
      <c r="AT35" s="31"/>
      <c r="AU35" s="31"/>
      <c r="AV35" s="31"/>
      <c r="AW35" s="31"/>
      <c r="AX35" s="31"/>
      <c r="AY35" s="31"/>
      <c r="AZ35" s="31"/>
      <c r="BA35" s="31"/>
      <c r="BB35" s="31"/>
      <c r="BC35" s="31"/>
      <c r="BD35" s="31"/>
      <c r="BE35" s="31"/>
      <c r="BF35" s="31"/>
      <c r="BG35" s="31"/>
      <c r="BH35" s="31"/>
      <c r="BI35" s="31"/>
      <c r="BJ35" s="31"/>
      <c r="BK35" s="31"/>
      <c r="BL35" s="31"/>
      <c r="BM35" s="31"/>
      <c r="BN35" s="31"/>
      <c r="BO35" s="31"/>
      <c r="BP35" s="31"/>
      <c r="BQ35" s="31"/>
      <c r="BR35" s="31"/>
      <c r="BS35" s="31"/>
      <c r="BT35" s="31"/>
      <c r="BU35" s="31"/>
      <c r="BV35" s="31"/>
      <c r="BW35" s="31"/>
      <c r="BX35" s="31"/>
      <c r="BY35" s="31"/>
      <c r="BZ35" s="31"/>
      <c r="CA35" s="31"/>
      <c r="CB35" s="31"/>
      <c r="CC35" s="31"/>
      <c r="CD35" s="31"/>
      <c r="CE35" s="31"/>
      <c r="CF35" s="31"/>
      <c r="CG35" s="31"/>
    </row>
    <row r="36" spans="1:85" s="3" customFormat="1" ht="30" customHeight="1" thickBot="1" x14ac:dyDescent="0.3">
      <c r="A36" s="45"/>
      <c r="B36" s="63" t="s">
        <v>59</v>
      </c>
      <c r="C36" s="58"/>
      <c r="D36" s="26">
        <v>0</v>
      </c>
      <c r="E36" s="80">
        <f>E34</f>
        <v>46018</v>
      </c>
      <c r="F36" s="80">
        <f>F34</f>
        <v>46025</v>
      </c>
      <c r="G36" s="14"/>
      <c r="H36" s="14">
        <f t="shared" si="24"/>
        <v>8</v>
      </c>
      <c r="I36" s="31"/>
      <c r="J36" s="31"/>
      <c r="K36" s="31"/>
      <c r="L36" s="31"/>
      <c r="M36" s="31"/>
      <c r="N36" s="31"/>
      <c r="O36" s="31"/>
      <c r="P36" s="31"/>
      <c r="Q36" s="31"/>
      <c r="R36" s="31"/>
      <c r="S36" s="31"/>
      <c r="T36" s="31"/>
      <c r="U36" s="31"/>
      <c r="V36" s="31"/>
      <c r="W36" s="31"/>
      <c r="X36" s="31"/>
      <c r="Y36" s="31"/>
      <c r="Z36" s="31"/>
      <c r="AA36" s="31"/>
      <c r="AB36" s="31"/>
      <c r="AC36" s="31"/>
      <c r="AD36" s="31"/>
      <c r="AE36" s="31"/>
      <c r="AF36" s="31"/>
      <c r="AG36" s="31"/>
      <c r="AH36" s="31"/>
      <c r="AI36" s="31"/>
      <c r="AJ36" s="31"/>
      <c r="AK36" s="31"/>
      <c r="AL36" s="31"/>
      <c r="AM36" s="31"/>
      <c r="AN36" s="31"/>
      <c r="AO36" s="31"/>
      <c r="AP36" s="31"/>
      <c r="AQ36" s="31"/>
      <c r="AR36" s="31"/>
      <c r="AS36" s="31"/>
      <c r="AT36" s="31"/>
      <c r="AU36" s="31"/>
      <c r="AV36" s="31"/>
      <c r="AW36" s="31"/>
      <c r="AX36" s="31"/>
      <c r="AY36" s="31"/>
      <c r="AZ36" s="31"/>
      <c r="BA36" s="31"/>
      <c r="BB36" s="31"/>
      <c r="BC36" s="31"/>
      <c r="BD36" s="31"/>
      <c r="BE36" s="31"/>
      <c r="BF36" s="31"/>
      <c r="BG36" s="31"/>
      <c r="BH36" s="31"/>
      <c r="BI36" s="31"/>
      <c r="BJ36" s="31"/>
      <c r="BK36" s="31"/>
      <c r="BL36" s="31"/>
      <c r="BM36" s="31"/>
      <c r="BN36" s="31"/>
      <c r="BO36" s="31"/>
      <c r="BP36" s="31"/>
      <c r="BQ36" s="31"/>
      <c r="BR36" s="31"/>
      <c r="BS36" s="31"/>
      <c r="BT36" s="31"/>
      <c r="BU36" s="31"/>
      <c r="BV36" s="31"/>
      <c r="BW36" s="31"/>
      <c r="BX36" s="31"/>
      <c r="BY36" s="31"/>
      <c r="BZ36" s="31"/>
      <c r="CA36" s="31"/>
      <c r="CB36" s="31"/>
      <c r="CC36" s="31"/>
      <c r="CD36" s="31"/>
      <c r="CE36" s="31"/>
      <c r="CF36" s="31"/>
      <c r="CG36" s="31"/>
    </row>
    <row r="37" spans="1:85" s="3" customFormat="1" ht="30" customHeight="1" thickBot="1" x14ac:dyDescent="0.3">
      <c r="A37" s="45"/>
      <c r="B37" s="63" t="s">
        <v>53</v>
      </c>
      <c r="C37" s="58"/>
      <c r="D37" s="26">
        <v>0</v>
      </c>
      <c r="E37" s="80">
        <f>E16</f>
        <v>45986</v>
      </c>
      <c r="F37" s="80">
        <f>E37+28</f>
        <v>46014</v>
      </c>
      <c r="G37" s="14"/>
      <c r="H37" s="14">
        <f t="shared" si="24"/>
        <v>29</v>
      </c>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c r="AH37" s="31"/>
      <c r="AI37" s="31"/>
      <c r="AJ37" s="31"/>
      <c r="AK37" s="31"/>
      <c r="AL37" s="31"/>
      <c r="AM37" s="31"/>
      <c r="AN37" s="31"/>
      <c r="AO37" s="31"/>
      <c r="AP37" s="31"/>
      <c r="AQ37" s="31"/>
      <c r="AR37" s="31"/>
      <c r="AS37" s="31"/>
      <c r="AT37" s="31"/>
      <c r="AU37" s="31"/>
      <c r="AV37" s="31"/>
      <c r="AW37" s="31"/>
      <c r="AX37" s="31"/>
      <c r="AY37" s="31"/>
      <c r="AZ37" s="31"/>
      <c r="BA37" s="31"/>
      <c r="BB37" s="31"/>
      <c r="BC37" s="31"/>
      <c r="BD37" s="31"/>
      <c r="BE37" s="31"/>
      <c r="BF37" s="31"/>
      <c r="BG37" s="31"/>
      <c r="BH37" s="31"/>
      <c r="BI37" s="31"/>
      <c r="BJ37" s="31"/>
      <c r="BK37" s="31"/>
      <c r="BL37" s="31"/>
      <c r="BM37" s="31"/>
      <c r="BN37" s="31"/>
      <c r="BO37" s="31"/>
      <c r="BP37" s="31"/>
      <c r="BQ37" s="31"/>
      <c r="BR37" s="31"/>
      <c r="BS37" s="31"/>
      <c r="BT37" s="31"/>
      <c r="BU37" s="31"/>
      <c r="BV37" s="31"/>
      <c r="BW37" s="31"/>
      <c r="BX37" s="31"/>
      <c r="BY37" s="31"/>
      <c r="BZ37" s="31"/>
      <c r="CA37" s="31"/>
      <c r="CB37" s="31"/>
      <c r="CC37" s="31"/>
      <c r="CD37" s="31"/>
      <c r="CE37" s="31"/>
      <c r="CF37" s="31"/>
      <c r="CG37" s="31"/>
    </row>
    <row r="38" spans="1:85" s="3" customFormat="1" ht="30" customHeight="1" thickBot="1" x14ac:dyDescent="0.3">
      <c r="A38" s="45"/>
      <c r="B38" s="63" t="s">
        <v>65</v>
      </c>
      <c r="C38" s="58"/>
      <c r="D38" s="26">
        <v>0</v>
      </c>
      <c r="E38" s="80">
        <f>E36</f>
        <v>46018</v>
      </c>
      <c r="F38" s="80">
        <f>F36</f>
        <v>46025</v>
      </c>
      <c r="G38" s="14"/>
      <c r="H38" s="14">
        <f t="shared" si="24"/>
        <v>8</v>
      </c>
      <c r="I38" s="31"/>
      <c r="J38" s="31"/>
      <c r="K38" s="31"/>
      <c r="L38" s="31"/>
      <c r="M38" s="31"/>
      <c r="N38" s="31"/>
      <c r="O38" s="31"/>
      <c r="P38" s="31"/>
      <c r="Q38" s="31"/>
      <c r="R38" s="31"/>
      <c r="S38" s="31"/>
      <c r="T38" s="31"/>
      <c r="U38" s="31"/>
      <c r="V38" s="31"/>
      <c r="W38" s="31"/>
      <c r="X38" s="31"/>
      <c r="Y38" s="31"/>
      <c r="Z38" s="31"/>
      <c r="AA38" s="31"/>
      <c r="AB38" s="31"/>
      <c r="AC38" s="31"/>
      <c r="AD38" s="31"/>
      <c r="AE38" s="31"/>
      <c r="AF38" s="31"/>
      <c r="AG38" s="31"/>
      <c r="AH38" s="31"/>
      <c r="AI38" s="31"/>
      <c r="AJ38" s="31"/>
      <c r="AK38" s="31"/>
      <c r="AL38" s="31"/>
      <c r="AM38" s="31"/>
      <c r="AN38" s="31"/>
      <c r="AO38" s="31"/>
      <c r="AP38" s="31"/>
      <c r="AQ38" s="31"/>
      <c r="AR38" s="31"/>
      <c r="AS38" s="31"/>
      <c r="AT38" s="31"/>
      <c r="AU38" s="31"/>
      <c r="AV38" s="31"/>
      <c r="AW38" s="31"/>
      <c r="AX38" s="31"/>
      <c r="AY38" s="31"/>
      <c r="AZ38" s="31"/>
      <c r="BA38" s="31"/>
      <c r="BB38" s="31"/>
      <c r="BC38" s="31"/>
      <c r="BD38" s="31"/>
      <c r="BE38" s="31"/>
      <c r="BF38" s="31"/>
      <c r="BG38" s="31"/>
      <c r="BH38" s="31"/>
      <c r="BI38" s="31"/>
      <c r="BJ38" s="31"/>
      <c r="BK38" s="31"/>
      <c r="BL38" s="31"/>
      <c r="BM38" s="31"/>
      <c r="BN38" s="31"/>
      <c r="BO38" s="31"/>
      <c r="BP38" s="31"/>
      <c r="BQ38" s="31"/>
      <c r="BR38" s="31"/>
      <c r="BS38" s="31"/>
      <c r="BT38" s="31"/>
      <c r="BU38" s="31"/>
      <c r="BV38" s="31"/>
      <c r="BW38" s="31"/>
      <c r="BX38" s="31"/>
      <c r="BY38" s="31"/>
      <c r="BZ38" s="31"/>
      <c r="CA38" s="31"/>
      <c r="CB38" s="31"/>
      <c r="CC38" s="31"/>
      <c r="CD38" s="31"/>
      <c r="CE38" s="31"/>
      <c r="CF38" s="31"/>
      <c r="CG38" s="31"/>
    </row>
    <row r="39" spans="1:85" s="3" customFormat="1" ht="30" customHeight="1" thickBot="1" x14ac:dyDescent="0.3">
      <c r="A39" s="45"/>
      <c r="B39" s="63" t="s">
        <v>54</v>
      </c>
      <c r="C39" s="58"/>
      <c r="D39" s="26">
        <v>0</v>
      </c>
      <c r="E39" s="80">
        <f>E25</f>
        <v>45996</v>
      </c>
      <c r="F39" s="80">
        <f>DATE(2026,1,5)</f>
        <v>46027</v>
      </c>
      <c r="G39" s="14"/>
      <c r="H39" s="14">
        <f t="shared" si="24"/>
        <v>32</v>
      </c>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c r="AH39" s="31"/>
      <c r="AI39" s="31"/>
      <c r="AJ39" s="31"/>
      <c r="AK39" s="31"/>
      <c r="AL39" s="31"/>
      <c r="AM39" s="31"/>
      <c r="AN39" s="31"/>
      <c r="AO39" s="31"/>
      <c r="AP39" s="31"/>
      <c r="AQ39" s="31"/>
      <c r="AR39" s="31"/>
      <c r="AS39" s="31"/>
      <c r="AT39" s="31"/>
      <c r="AU39" s="31"/>
      <c r="AV39" s="31"/>
      <c r="AW39" s="31"/>
      <c r="AX39" s="31"/>
      <c r="AY39" s="31"/>
      <c r="AZ39" s="31"/>
      <c r="BA39" s="31"/>
      <c r="BB39" s="31"/>
      <c r="BC39" s="31"/>
      <c r="BD39" s="31"/>
      <c r="BE39" s="31"/>
      <c r="BF39" s="31"/>
      <c r="BG39" s="31"/>
      <c r="BH39" s="31"/>
      <c r="BI39" s="31"/>
      <c r="BJ39" s="31"/>
      <c r="BK39" s="31"/>
      <c r="BL39" s="31"/>
      <c r="BM39" s="31"/>
      <c r="BN39" s="31"/>
      <c r="BO39" s="31"/>
      <c r="BP39" s="31"/>
      <c r="BQ39" s="31"/>
      <c r="BR39" s="31"/>
      <c r="BS39" s="31"/>
      <c r="BT39" s="31"/>
      <c r="BU39" s="31"/>
      <c r="BV39" s="31"/>
      <c r="BW39" s="31"/>
      <c r="BX39" s="31"/>
      <c r="BY39" s="31"/>
      <c r="BZ39" s="31"/>
      <c r="CA39" s="31"/>
      <c r="CB39" s="31"/>
      <c r="CC39" s="31"/>
      <c r="CD39" s="31"/>
      <c r="CE39" s="31"/>
      <c r="CF39" s="31"/>
      <c r="CG39" s="31"/>
    </row>
    <row r="40" spans="1:85" s="3" customFormat="1" ht="30" customHeight="1" thickBot="1" x14ac:dyDescent="0.3">
      <c r="A40" s="45"/>
      <c r="B40" s="63" t="s">
        <v>39</v>
      </c>
      <c r="C40" s="58"/>
      <c r="D40" s="26">
        <v>0</v>
      </c>
      <c r="E40" s="80">
        <f>DATE(2026,1,6)</f>
        <v>46028</v>
      </c>
      <c r="F40" s="80">
        <f>E40</f>
        <v>46028</v>
      </c>
      <c r="G40" s="14"/>
      <c r="H40" s="14">
        <f t="shared" si="24"/>
        <v>1</v>
      </c>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c r="AH40" s="31"/>
      <c r="AI40" s="31"/>
      <c r="AJ40" s="31"/>
      <c r="AK40" s="31"/>
      <c r="AL40" s="31"/>
      <c r="AM40" s="31"/>
      <c r="AN40" s="31"/>
      <c r="AO40" s="31"/>
      <c r="AP40" s="31"/>
      <c r="AQ40" s="31"/>
      <c r="AR40" s="31"/>
      <c r="AS40" s="31"/>
      <c r="AT40" s="31"/>
      <c r="AU40" s="31"/>
      <c r="AV40" s="31"/>
      <c r="AW40" s="31"/>
      <c r="AX40" s="31"/>
      <c r="AY40" s="31"/>
      <c r="AZ40" s="31"/>
      <c r="BA40" s="31"/>
      <c r="BB40" s="31"/>
      <c r="BC40" s="31"/>
      <c r="BD40" s="31"/>
      <c r="BE40" s="31"/>
      <c r="BF40" s="31"/>
      <c r="BG40" s="31"/>
      <c r="BH40" s="31"/>
      <c r="BI40" s="31"/>
      <c r="BJ40" s="31"/>
      <c r="BK40" s="31"/>
      <c r="BL40" s="31"/>
      <c r="BM40" s="31"/>
      <c r="BN40" s="31"/>
      <c r="BO40" s="31"/>
      <c r="BP40" s="31"/>
      <c r="BQ40" s="31"/>
      <c r="BR40" s="31"/>
      <c r="BS40" s="31"/>
      <c r="BT40" s="31"/>
      <c r="BU40" s="31"/>
      <c r="BV40" s="31"/>
      <c r="BW40" s="31"/>
      <c r="BX40" s="31"/>
      <c r="BY40" s="31"/>
      <c r="BZ40" s="31"/>
      <c r="CA40" s="31"/>
      <c r="CB40" s="31"/>
      <c r="CC40" s="31"/>
      <c r="CD40" s="31"/>
      <c r="CE40" s="31"/>
      <c r="CF40" s="31"/>
      <c r="CG40" s="31"/>
    </row>
    <row r="41" spans="1:85" s="3" customFormat="1" ht="30" customHeight="1" thickBot="1" x14ac:dyDescent="0.3">
      <c r="A41" s="45" t="s">
        <v>12</v>
      </c>
      <c r="B41" s="64"/>
      <c r="C41" s="59"/>
      <c r="D41" s="13"/>
      <c r="E41" s="81"/>
      <c r="F41" s="81"/>
      <c r="G41" s="14"/>
      <c r="H41" s="14" t="str">
        <f t="shared" si="24"/>
        <v/>
      </c>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c r="AH41" s="31"/>
      <c r="AI41" s="31"/>
      <c r="AJ41" s="31"/>
      <c r="AK41" s="31"/>
      <c r="AL41" s="31"/>
      <c r="AM41" s="31"/>
      <c r="AN41" s="31"/>
      <c r="AO41" s="31"/>
      <c r="AP41" s="31"/>
      <c r="AQ41" s="31"/>
      <c r="AR41" s="31"/>
      <c r="AS41" s="31"/>
      <c r="AT41" s="31"/>
      <c r="AU41" s="31"/>
      <c r="AV41" s="31"/>
      <c r="AW41" s="31"/>
      <c r="AX41" s="31"/>
      <c r="AY41" s="31"/>
      <c r="AZ41" s="31"/>
      <c r="BA41" s="31"/>
      <c r="BB41" s="31"/>
      <c r="BC41" s="31"/>
      <c r="BD41" s="31"/>
      <c r="BE41" s="31"/>
      <c r="BF41" s="31"/>
      <c r="BG41" s="31"/>
      <c r="BH41" s="31"/>
      <c r="BI41" s="31"/>
      <c r="BJ41" s="31"/>
      <c r="BK41" s="31"/>
      <c r="BL41" s="31"/>
      <c r="BM41" s="31"/>
      <c r="BN41" s="31"/>
      <c r="BO41" s="31"/>
      <c r="BP41" s="31"/>
      <c r="BQ41" s="31"/>
      <c r="BR41" s="31"/>
      <c r="BS41" s="31"/>
      <c r="BT41" s="31"/>
      <c r="BU41" s="31"/>
      <c r="BV41" s="31"/>
      <c r="BW41" s="31"/>
      <c r="BX41" s="31"/>
      <c r="BY41" s="31"/>
      <c r="BZ41" s="31"/>
      <c r="CA41" s="31"/>
      <c r="CB41" s="31"/>
      <c r="CC41" s="31"/>
      <c r="CD41" s="31"/>
      <c r="CE41" s="31"/>
      <c r="CF41" s="31"/>
      <c r="CG41" s="31"/>
    </row>
    <row r="42" spans="1:85" s="3" customFormat="1" ht="30" customHeight="1" thickBot="1" x14ac:dyDescent="0.3">
      <c r="A42" s="46" t="s">
        <v>13</v>
      </c>
      <c r="B42" s="27" t="s">
        <v>16</v>
      </c>
      <c r="C42" s="28"/>
      <c r="D42" s="29"/>
      <c r="E42" s="82"/>
      <c r="F42" s="83"/>
      <c r="G42" s="30"/>
      <c r="H42" s="30" t="str">
        <f t="shared" si="24"/>
        <v/>
      </c>
      <c r="I42" s="33"/>
      <c r="J42" s="33"/>
      <c r="K42" s="33"/>
      <c r="L42" s="33"/>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c r="AV42" s="33"/>
      <c r="AW42" s="33"/>
      <c r="AX42" s="33"/>
      <c r="AY42" s="33"/>
      <c r="AZ42" s="33"/>
      <c r="BA42" s="33"/>
      <c r="BB42" s="33"/>
      <c r="BC42" s="33"/>
      <c r="BD42" s="33"/>
      <c r="BE42" s="33"/>
      <c r="BF42" s="33"/>
      <c r="BG42" s="33"/>
      <c r="BH42" s="33"/>
      <c r="BI42" s="33"/>
      <c r="BJ42" s="33"/>
      <c r="BK42" s="33"/>
      <c r="BL42" s="33"/>
      <c r="BM42" s="33"/>
      <c r="BN42" s="33"/>
      <c r="BO42" s="33"/>
      <c r="BP42" s="33"/>
      <c r="BQ42" s="33"/>
      <c r="BR42" s="33"/>
      <c r="BS42" s="33"/>
      <c r="BT42" s="33"/>
      <c r="BU42" s="33"/>
      <c r="BV42" s="33"/>
      <c r="BW42" s="33"/>
      <c r="BX42" s="33"/>
      <c r="BY42" s="33"/>
      <c r="BZ42" s="33"/>
      <c r="CA42" s="33"/>
      <c r="CB42" s="33"/>
      <c r="CC42" s="33"/>
      <c r="CD42" s="33"/>
      <c r="CE42" s="33"/>
      <c r="CF42" s="33"/>
      <c r="CG42" s="33"/>
    </row>
    <row r="43" spans="1:85" ht="30" customHeight="1" x14ac:dyDescent="0.25">
      <c r="G43" s="6"/>
    </row>
    <row r="44" spans="1:85" ht="30" customHeight="1" x14ac:dyDescent="0.25">
      <c r="C44" s="11"/>
      <c r="F44" s="47"/>
    </row>
    <row r="45" spans="1:85" ht="30" customHeight="1" x14ac:dyDescent="0.25">
      <c r="C45" s="12"/>
    </row>
  </sheetData>
  <mergeCells count="14">
    <mergeCell ref="BM4:BS4"/>
    <mergeCell ref="BT4:BZ4"/>
    <mergeCell ref="CA4:CG4"/>
    <mergeCell ref="C3:D3"/>
    <mergeCell ref="C4:D4"/>
    <mergeCell ref="AK4:AQ4"/>
    <mergeCell ref="AR4:AX4"/>
    <mergeCell ref="AY4:BE4"/>
    <mergeCell ref="BF4:BL4"/>
    <mergeCell ref="E3:F3"/>
    <mergeCell ref="I4:O4"/>
    <mergeCell ref="P4:V4"/>
    <mergeCell ref="W4:AC4"/>
    <mergeCell ref="AD4:AJ4"/>
  </mergeCells>
  <conditionalFormatting sqref="D7:D42">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7 I8:CG42 BM5:CG6">
    <cfRule type="expression" dxfId="2" priority="33">
      <formula>AND(TODAY()&gt;=I$5,TODAY()&lt;J$5)</formula>
    </cfRule>
  </conditionalFormatting>
  <conditionalFormatting sqref="I7:BL7 I8:CG42">
    <cfRule type="expression" dxfId="1" priority="27">
      <formula>AND(task_start&lt;=I$5,ROUNDDOWN((task_end-task_start+1)*task_progress,0)+task_start-1&gt;=I$5)</formula>
    </cfRule>
    <cfRule type="expression" dxfId="0" priority="28" stopIfTrue="1">
      <formula>AND(task_end&gt;=I$5,task_start&lt;J$5)</formula>
    </cfRule>
  </conditionalFormatting>
  <dataValidations count="1">
    <dataValidation type="whole" operator="greaterThanOrEqual" allowBlank="1" showInputMessage="1" promptTitle="Display Week" prompt="Changing this number will scroll the Gantt Chart view."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60" fitToHeight="0" orientation="landscape" r:id="rId3"/>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140625" defaultRowHeight="12.75" x14ac:dyDescent="0.2"/>
  <cols>
    <col min="1" max="1" width="87.140625" style="35" customWidth="1"/>
    <col min="2" max="16384" width="9.140625" style="2"/>
  </cols>
  <sheetData>
    <row r="1" spans="1:2" ht="46.5" customHeight="1" x14ac:dyDescent="0.2"/>
    <row r="2" spans="1:2" s="37" customFormat="1" ht="15.75" x14ac:dyDescent="0.25">
      <c r="A2" s="36" t="s">
        <v>24</v>
      </c>
      <c r="B2" s="36"/>
    </row>
    <row r="3" spans="1:2" s="41" customFormat="1" ht="27" customHeight="1" x14ac:dyDescent="0.25">
      <c r="A3" s="68" t="s">
        <v>25</v>
      </c>
      <c r="B3" s="42"/>
    </row>
    <row r="4" spans="1:2" s="38" customFormat="1" ht="26.25" x14ac:dyDescent="0.4">
      <c r="A4" s="39" t="s">
        <v>26</v>
      </c>
    </row>
    <row r="5" spans="1:2" ht="74.099999999999994" customHeight="1" x14ac:dyDescent="0.2">
      <c r="A5" s="40" t="s">
        <v>27</v>
      </c>
    </row>
    <row r="6" spans="1:2" ht="26.25" customHeight="1" x14ac:dyDescent="0.2">
      <c r="A6" s="39" t="s">
        <v>28</v>
      </c>
    </row>
    <row r="7" spans="1:2" s="35" customFormat="1" ht="204.95" customHeight="1" x14ac:dyDescent="0.25">
      <c r="A7" s="44" t="s">
        <v>29</v>
      </c>
    </row>
    <row r="8" spans="1:2" s="38" customFormat="1" ht="26.25" x14ac:dyDescent="0.4">
      <c r="A8" s="39" t="s">
        <v>30</v>
      </c>
    </row>
    <row r="9" spans="1:2" ht="60" x14ac:dyDescent="0.2">
      <c r="A9" s="40" t="s">
        <v>31</v>
      </c>
    </row>
    <row r="10" spans="1:2" s="35" customFormat="1" ht="27.95" customHeight="1" x14ac:dyDescent="0.25">
      <c r="A10" s="43" t="s">
        <v>32</v>
      </c>
    </row>
    <row r="11" spans="1:2" s="38" customFormat="1" ht="26.25" x14ac:dyDescent="0.4">
      <c r="A11" s="39" t="s">
        <v>33</v>
      </c>
    </row>
    <row r="12" spans="1:2" ht="30" x14ac:dyDescent="0.2">
      <c r="A12" s="40" t="s">
        <v>34</v>
      </c>
    </row>
    <row r="13" spans="1:2" s="35" customFormat="1" ht="27.95" customHeight="1" x14ac:dyDescent="0.25">
      <c r="A13" s="43" t="s">
        <v>35</v>
      </c>
    </row>
    <row r="14" spans="1:2" s="38" customFormat="1" ht="26.25" x14ac:dyDescent="0.4">
      <c r="A14" s="39" t="s">
        <v>36</v>
      </c>
    </row>
    <row r="15" spans="1:2" ht="75" customHeight="1" x14ac:dyDescent="0.2">
      <c r="A15" s="40" t="s">
        <v>37</v>
      </c>
    </row>
    <row r="16" spans="1:2" ht="75" x14ac:dyDescent="0.2">
      <c r="A16" s="40" t="s">
        <v>38</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ProjectSchedule</vt:lpstr>
      <vt:lpstr>About</vt:lpstr>
      <vt:lpstr>Display_Week</vt:lpstr>
      <vt:lpstr>ProjectSchedule!Print_Titles</vt:lpstr>
      <vt:lpstr>Project_Start</vt:lpstr>
      <vt:lpstr>ProjectSchedule!task_end</vt:lpstr>
      <vt:lpstr>ProjectSchedule!task_progress</vt:lpstr>
      <vt:lpstr>ProjectSchedule!task_start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2025-11-22T17:10:07Z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