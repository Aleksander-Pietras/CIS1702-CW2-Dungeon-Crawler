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exp\Documents\Programming-In-GitHub\CIS1702-CW2-Dungeon-Crawler\planning\critical_path_analysis\"/>
    </mc:Choice>
  </mc:AlternateContent>
  <xr:revisionPtr revIDLastSave="0" documentId="13_ncr:1_{9EE6019F-A373-4F82-A0A5-7D33C33F3D37}" xr6:coauthVersionLast="47" xr6:coauthVersionMax="47" xr10:uidLastSave="{00000000-0000-0000-0000-000000000000}"/>
  <bookViews>
    <workbookView xWindow="38280" yWindow="1305" windowWidth="29040" windowHeight="15720" xr2:uid="{00000000-000D-0000-FFFF-FFFF00000000}"/>
  </bookViews>
  <sheets>
    <sheet name="Sheet1" sheetId="1" r:id="rId1"/>
  </sheets>
  <definedNames>
    <definedName name="Project_Start">Sheet1!$D$4</definedName>
    <definedName name="task_end" localSheetId="0">Sheet1!$E1</definedName>
    <definedName name="task_start" localSheetId="0">Sheet1!$D1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4" i="1"/>
  <c r="D34" i="1"/>
  <c r="F34" i="1" s="1"/>
  <c r="F3" i="1"/>
  <c r="E35" i="1" l="1"/>
  <c r="F35" i="1" s="1"/>
  <c r="F32" i="1" l="1"/>
  <c r="D32" i="1"/>
  <c r="E32" i="1"/>
  <c r="E7" i="1"/>
  <c r="E6" i="1"/>
  <c r="D7" i="1"/>
  <c r="F7" i="1"/>
  <c r="E24" i="1"/>
  <c r="D24" i="1"/>
  <c r="F24" i="1"/>
  <c r="F19" i="1"/>
  <c r="D19" i="1"/>
  <c r="E19" i="1"/>
  <c r="F17" i="1"/>
  <c r="E33" i="1"/>
  <c r="E31" i="1"/>
  <c r="E29" i="1"/>
  <c r="F8" i="1"/>
  <c r="E15" i="1"/>
  <c r="D15" i="1"/>
  <c r="F15" i="1"/>
  <c r="E23" i="1"/>
  <c r="D23" i="1"/>
  <c r="F23" i="1"/>
  <c r="F27" i="1"/>
  <c r="D27" i="1"/>
  <c r="E27" i="1"/>
  <c r="F21" i="1"/>
  <c r="E9" i="1"/>
  <c r="D9" i="1"/>
  <c r="F9" i="1"/>
  <c r="D6" i="1"/>
  <c r="F6" i="1"/>
  <c r="E16" i="1"/>
  <c r="E13" i="1"/>
  <c r="D16" i="1"/>
  <c r="F16" i="1"/>
  <c r="F33" i="1"/>
  <c r="D33" i="1"/>
  <c r="F29" i="1"/>
  <c r="D13" i="1"/>
  <c r="F13" i="1"/>
  <c r="D29" i="1"/>
  <c r="D31" i="1"/>
  <c r="F31" i="1"/>
  <c r="E18" i="1"/>
  <c r="D17" i="1"/>
  <c r="E17" i="1"/>
  <c r="D18" i="1"/>
  <c r="F18" i="1"/>
  <c r="F25" i="1"/>
  <c r="F4" i="1"/>
  <c r="E5" i="1"/>
  <c r="D5" i="1"/>
  <c r="F5" i="1"/>
  <c r="E10" i="1"/>
  <c r="D8" i="1"/>
  <c r="E8" i="1"/>
  <c r="D10" i="1"/>
  <c r="F10" i="1"/>
  <c r="F14" i="1"/>
  <c r="D14" i="1"/>
  <c r="E14" i="1"/>
  <c r="F20" i="1"/>
  <c r="F28" i="1"/>
  <c r="F11" i="1"/>
  <c r="F22" i="1"/>
  <c r="F12" i="1"/>
  <c r="F30" i="1"/>
  <c r="D21" i="1"/>
  <c r="E21" i="1"/>
  <c r="D28" i="1"/>
  <c r="D30" i="1"/>
  <c r="E30" i="1"/>
  <c r="F26" i="1"/>
  <c r="D4" i="1"/>
  <c r="E4" i="1"/>
  <c r="D11" i="1"/>
  <c r="D12" i="1"/>
  <c r="E12" i="1"/>
  <c r="D20" i="1"/>
  <c r="D22" i="1"/>
  <c r="E22" i="1"/>
  <c r="D25" i="1"/>
  <c r="E25" i="1"/>
  <c r="D26" i="1"/>
  <c r="E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Aleksander Pietras</author>
  </authors>
  <commentList>
    <comment ref="G11" authorId="0" shapeId="0" xr:uid="{642AA4A2-16F0-4C59-916A-76A95F60D84E}">
      <text>
        <r>
          <rPr>
            <b/>
            <sz val="9"/>
            <color indexed="81"/>
            <rFont val="Tahoma"/>
            <charset val="1"/>
          </rPr>
          <t>Aleksander Pietras:</t>
        </r>
        <r>
          <rPr>
            <sz val="9"/>
            <color indexed="81"/>
            <rFont val="Tahoma"/>
            <charset val="1"/>
          </rPr>
          <t xml:space="preserve">
Just a general block with a date where all the previous blocks link up to, this helps with organisation of the CPA and with work flow</t>
        </r>
      </text>
    </comment>
  </commentList>
</comments>
</file>

<file path=xl/sharedStrings.xml><?xml version="1.0" encoding="utf-8"?>
<sst xmlns="http://schemas.openxmlformats.org/spreadsheetml/2006/main" count="101" uniqueCount="74">
  <si>
    <t>Planning Phase</t>
  </si>
  <si>
    <t>Complete Chart</t>
  </si>
  <si>
    <t>Assign Tasks</t>
  </si>
  <si>
    <t>Create Dependancy Table</t>
  </si>
  <si>
    <t>Create CPA (Critical Path Analysis)</t>
  </si>
  <si>
    <t>Create Flowchart</t>
  </si>
  <si>
    <t>Pseudocode</t>
  </si>
  <si>
    <t>File Structure and programming branch</t>
  </si>
  <si>
    <t>Set-Up Phase</t>
  </si>
  <si>
    <t>Research JSON</t>
  </si>
  <si>
    <t>Research Random Networks</t>
  </si>
  <si>
    <t>Create JSON File</t>
  </si>
  <si>
    <t>Design of Rooms</t>
  </si>
  <si>
    <t>Design of Entities</t>
  </si>
  <si>
    <t>Create main.py</t>
  </si>
  <si>
    <t>Create Entity class</t>
  </si>
  <si>
    <t>Create Player class</t>
  </si>
  <si>
    <t>Programming Phase</t>
  </si>
  <si>
    <t>Random room selection</t>
  </si>
  <si>
    <t>Random encounters</t>
  </si>
  <si>
    <t>Inventory</t>
  </si>
  <si>
    <t>Treasure/ Loot</t>
  </si>
  <si>
    <t>Game Over Screen ( Hp systerm)</t>
  </si>
  <si>
    <t>Scoreboard ( Enemy kills) - disucss</t>
  </si>
  <si>
    <t>Items</t>
  </si>
  <si>
    <t>Implementation and Testing</t>
  </si>
  <si>
    <t>Test code</t>
  </si>
  <si>
    <t>Unit test</t>
  </si>
  <si>
    <t xml:space="preserve">Debugging </t>
  </si>
  <si>
    <t>Reflect on new ideas</t>
  </si>
  <si>
    <t>Optimise code</t>
  </si>
  <si>
    <t>Report</t>
  </si>
  <si>
    <t>Submission Deadline</t>
  </si>
  <si>
    <t>Date started</t>
  </si>
  <si>
    <t>Date finnished</t>
  </si>
  <si>
    <t>Duration</t>
  </si>
  <si>
    <t>Dependant on</t>
  </si>
  <si>
    <t>-</t>
  </si>
  <si>
    <t>Task ID</t>
  </si>
  <si>
    <t>A</t>
  </si>
  <si>
    <t>S</t>
  </si>
  <si>
    <t>N</t>
  </si>
  <si>
    <t>C</t>
  </si>
  <si>
    <t>O</t>
  </si>
  <si>
    <t>U</t>
  </si>
  <si>
    <t>E</t>
  </si>
  <si>
    <t>T</t>
  </si>
  <si>
    <t>B</t>
  </si>
  <si>
    <t>R</t>
  </si>
  <si>
    <t>D</t>
  </si>
  <si>
    <t>F</t>
  </si>
  <si>
    <t>G</t>
  </si>
  <si>
    <t>H</t>
  </si>
  <si>
    <t>I</t>
  </si>
  <si>
    <t>J</t>
  </si>
  <si>
    <t>K</t>
  </si>
  <si>
    <t>L</t>
  </si>
  <si>
    <t>M</t>
  </si>
  <si>
    <t>P</t>
  </si>
  <si>
    <t>Q</t>
  </si>
  <si>
    <t>V</t>
  </si>
  <si>
    <t>W</t>
  </si>
  <si>
    <t>X</t>
  </si>
  <si>
    <t>Y</t>
  </si>
  <si>
    <t>Z</t>
  </si>
  <si>
    <t>AA</t>
  </si>
  <si>
    <t>AB</t>
  </si>
  <si>
    <t>AC</t>
  </si>
  <si>
    <t>milestone block</t>
  </si>
  <si>
    <t>MSB-1</t>
  </si>
  <si>
    <t>MSB-2</t>
  </si>
  <si>
    <t>MSB-3</t>
  </si>
  <si>
    <t>just the final task all other task have to link to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</si>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</sst>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4">
    <xf numFmtId="0" fontId="0" fillId="0" borderId="0"/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164" fontId="1" fillId="0" borderId="1" applyFill="0">
      <alignment horizontal="center" vertical="center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164" fontId="0" fillId="2" borderId="1" xfId="0" applyNumberForma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2" applyFill="1">
      <alignment horizontal="left" vertical="center" indent="2"/>
    </xf>
    <xf numFmtId="164" fontId="1" fillId="3" borderId="1" xfId="3" applyFill="1">
      <alignment horizontal="center" vertical="center"/>
    </xf>
    <xf numFmtId="0" fontId="1" fillId="3" borderId="1" xfId="2" applyFill="1" applyAlignment="1">
      <alignment horizontal="left" vertical="center" wrapText="1" indent="2"/>
    </xf>
    <xf numFmtId="0" fontId="4" fillId="3" borderId="1" xfId="2" applyFont="1" applyFill="1" applyAlignment="1">
      <alignment horizontal="left" vertical="center" wrapText="1" indent="2"/>
    </xf>
    <xf numFmtId="0" fontId="2" fillId="4" borderId="1" xfId="0" applyFont="1" applyFill="1" applyBorder="1" applyAlignment="1">
      <alignment horizontal="left" vertical="center" indent="1"/>
    </xf>
    <xf numFmtId="164" fontId="0" fillId="4" borderId="1" xfId="0" applyNumberForma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" fillId="5" borderId="1" xfId="2" applyFill="1">
      <alignment horizontal="left" vertical="center" indent="2"/>
    </xf>
    <xf numFmtId="164" fontId="1" fillId="5" borderId="1" xfId="3" applyFill="1">
      <alignment horizontal="center" vertical="center"/>
    </xf>
    <xf numFmtId="0" fontId="1" fillId="5" borderId="1" xfId="2" applyFill="1" applyAlignment="1">
      <alignment horizontal="left" vertical="center" wrapText="1" indent="2"/>
    </xf>
    <xf numFmtId="0" fontId="2" fillId="6" borderId="1" xfId="0" applyFont="1" applyFill="1" applyBorder="1" applyAlignment="1">
      <alignment horizontal="left" vertical="center" indent="1"/>
    </xf>
    <xf numFmtId="164" fontId="0" fillId="6" borderId="1" xfId="0" applyNumberForma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" fillId="7" borderId="1" xfId="2" applyFill="1">
      <alignment horizontal="left" vertical="center" indent="2"/>
    </xf>
    <xf numFmtId="164" fontId="1" fillId="7" borderId="1" xfId="3" applyFill="1">
      <alignment horizontal="center" vertical="center"/>
    </xf>
    <xf numFmtId="0" fontId="2" fillId="8" borderId="1" xfId="0" applyFont="1" applyFill="1" applyBorder="1" applyAlignment="1">
      <alignment horizontal="left" vertical="center" indent="1"/>
    </xf>
    <xf numFmtId="164" fontId="0" fillId="8" borderId="1" xfId="0" applyNumberForma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1" fillId="9" borderId="1" xfId="2" applyFill="1">
      <alignment horizontal="left" vertical="center" indent="2"/>
    </xf>
    <xf numFmtId="164" fontId="1" fillId="9" borderId="1" xfId="3" applyFill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Date" xfId="3" xr:uid="{04032F96-88C0-4D43-A21F-4C92D1C1CBAB}"/>
    <cellStyle name="Name" xfId="1" xr:uid="{C5BB7E0E-7E18-4F0F-9434-2820C82038E9}"/>
    <cellStyle name="Normal" xfId="0" builtinId="0"/>
    <cellStyle name="Task" xfId="2" xr:uid="{43C84FE8-4DB2-4DB5-B788-A2D309583B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5"/>
  <sheetViews>
    <sheetView tabSelected="1" workbookViewId="0">
      <selection activeCell="K12" sqref="K12"/>
    </sheetView>
  </sheetViews>
  <sheetFormatPr defaultRowHeight="15" x14ac:dyDescent="0.25"/>
  <cols>
    <col min="3" max="7" width="20.7109375" customWidth="1"/>
  </cols>
  <sheetData>
    <row r="2" spans="2:11" ht="32.1" customHeight="1" thickBot="1" x14ac:dyDescent="0.3">
      <c r="B2" t="s">
        <v>38</v>
      </c>
      <c r="D2" t="s">
        <v>33</v>
      </c>
      <c r="E2" t="s">
        <v>34</v>
      </c>
      <c r="F2" t="s">
        <v>35</v>
      </c>
      <c r="G2" t="s">
        <v>36</v>
      </c>
    </row>
    <row r="3" spans="2:11" ht="32.1" customHeight="1" thickBot="1" x14ac:dyDescent="0.3">
      <c r="B3" s="25"/>
      <c r="C3" s="1" t="s">
        <v>0</v>
      </c>
      <c r="D3" s="2"/>
      <c r="E3" s="3"/>
      <c r="F3" s="4" t="str">
        <f t="shared" ref="F3:F35" si="0">IF(OR(ISBLANK(task_start),ISBLANK(task_end)),"",task_end-task_start+1)</f>
        <v/>
      </c>
    </row>
    <row r="4" spans="2:11" ht="32.1" customHeight="1" thickBot="1" x14ac:dyDescent="0.3">
      <c r="B4" s="25" t="s">
        <v>39</v>
      </c>
      <c r="C4" s="5" t="s">
        <v>1</v>
      </c>
      <c r="D4" s="6">
        <f ca="1">Project_Start</f>
        <v>45972</v>
      </c>
      <c r="E4" s="6">
        <f ca="1">D4+7</f>
        <v>45979</v>
      </c>
      <c r="F4" s="4">
        <f t="shared" ca="1" si="0"/>
        <v>8</v>
      </c>
      <c r="G4" s="25" t="s">
        <v>37</v>
      </c>
    </row>
    <row r="5" spans="2:11" ht="32.1" customHeight="1" thickBot="1" x14ac:dyDescent="0.3">
      <c r="B5" s="25" t="s">
        <v>47</v>
      </c>
      <c r="C5" s="5" t="s">
        <v>2</v>
      </c>
      <c r="D5" s="6">
        <f ca="1">E4</f>
        <v>45979</v>
      </c>
      <c r="E5" s="6">
        <f ca="1">D5+5</f>
        <v>45984</v>
      </c>
      <c r="F5" s="4">
        <f t="shared" ca="1" si="0"/>
        <v>6</v>
      </c>
      <c r="G5" s="25" t="s">
        <v>39</v>
      </c>
    </row>
    <row r="6" spans="2:11" ht="32.1" customHeight="1" thickBot="1" x14ac:dyDescent="0.3">
      <c r="B6" s="25" t="s">
        <v>42</v>
      </c>
      <c r="C6" s="7" t="s">
        <v>3</v>
      </c>
      <c r="D6" s="6">
        <f ca="1">E4</f>
        <v>45979</v>
      </c>
      <c r="E6" s="6">
        <f ca="1">D6+3</f>
        <v>45982</v>
      </c>
      <c r="F6" s="4">
        <f t="shared" ca="1" si="0"/>
        <v>4</v>
      </c>
      <c r="G6" s="25" t="s">
        <v>39</v>
      </c>
    </row>
    <row r="7" spans="2:11" ht="32.1" customHeight="1" thickBot="1" x14ac:dyDescent="0.3">
      <c r="B7" s="25" t="s">
        <v>49</v>
      </c>
      <c r="C7" s="8" t="s">
        <v>4</v>
      </c>
      <c r="D7" s="6">
        <f ca="1">E6</f>
        <v>45982</v>
      </c>
      <c r="E7" s="6">
        <f ca="1">D7+4</f>
        <v>45986</v>
      </c>
      <c r="F7" s="4">
        <f t="shared" ca="1" si="0"/>
        <v>5</v>
      </c>
      <c r="G7" s="25" t="s">
        <v>42</v>
      </c>
    </row>
    <row r="8" spans="2:11" ht="32.1" customHeight="1" thickBot="1" x14ac:dyDescent="0.3">
      <c r="B8" s="25" t="s">
        <v>45</v>
      </c>
      <c r="C8" s="5" t="s">
        <v>5</v>
      </c>
      <c r="D8" s="6">
        <f ca="1">Project_Start</f>
        <v>45972</v>
      </c>
      <c r="E8" s="6">
        <f ca="1">D8+7</f>
        <v>45979</v>
      </c>
      <c r="F8" s="4">
        <f t="shared" ca="1" si="0"/>
        <v>8</v>
      </c>
      <c r="G8" s="25" t="s">
        <v>37</v>
      </c>
    </row>
    <row r="9" spans="2:11" ht="32.1" customHeight="1" thickBot="1" x14ac:dyDescent="0.3">
      <c r="B9" s="25" t="s">
        <v>50</v>
      </c>
      <c r="C9" s="5" t="s">
        <v>6</v>
      </c>
      <c r="D9" s="6">
        <f ca="1">E8</f>
        <v>45979</v>
      </c>
      <c r="E9" s="6">
        <f ca="1">D9+7</f>
        <v>45986</v>
      </c>
      <c r="F9" s="4">
        <f t="shared" ca="1" si="0"/>
        <v>8</v>
      </c>
      <c r="G9" s="25" t="s">
        <v>45</v>
      </c>
    </row>
    <row r="10" spans="2:11" ht="32.1" customHeight="1" thickBot="1" x14ac:dyDescent="0.3">
      <c r="B10" s="25" t="s">
        <v>51</v>
      </c>
      <c r="C10" s="8" t="s">
        <v>7</v>
      </c>
      <c r="D10" s="6">
        <f ca="1">E8</f>
        <v>45979</v>
      </c>
      <c r="E10" s="6">
        <f ca="1">D10+4</f>
        <v>45983</v>
      </c>
      <c r="F10" s="4">
        <f t="shared" ca="1" si="0"/>
        <v>5</v>
      </c>
      <c r="G10" s="25" t="s">
        <v>39</v>
      </c>
    </row>
    <row r="11" spans="2:11" ht="32.1" customHeight="1" thickBot="1" x14ac:dyDescent="0.3">
      <c r="B11" s="25" t="s">
        <v>69</v>
      </c>
      <c r="C11" s="9" t="s">
        <v>8</v>
      </c>
      <c r="D11" s="10">
        <f ca="1">MAX(E4:E10)</f>
        <v>45986</v>
      </c>
      <c r="E11" s="11"/>
      <c r="F11" s="4" t="str">
        <f t="shared" ca="1" si="0"/>
        <v/>
      </c>
      <c r="G11" s="25" t="s">
        <v>68</v>
      </c>
    </row>
    <row r="12" spans="2:11" ht="32.1" customHeight="1" thickBot="1" x14ac:dyDescent="0.3">
      <c r="B12" s="25" t="s">
        <v>52</v>
      </c>
      <c r="C12" s="12" t="s">
        <v>9</v>
      </c>
      <c r="D12" s="13">
        <f ca="1">D11</f>
        <v>45986</v>
      </c>
      <c r="E12" s="13">
        <f ca="1">D12+4</f>
        <v>45990</v>
      </c>
      <c r="F12" s="4">
        <f t="shared" ca="1" si="0"/>
        <v>5</v>
      </c>
      <c r="G12" s="25" t="s">
        <v>69</v>
      </c>
      <c r="K12" t="s">
        <v>73</v>
      </c>
    </row>
    <row r="13" spans="2:11" ht="32.1" customHeight="1" thickBot="1" x14ac:dyDescent="0.3">
      <c r="B13" s="25" t="s">
        <v>53</v>
      </c>
      <c r="C13" s="14" t="s">
        <v>10</v>
      </c>
      <c r="D13" s="13">
        <f ca="1">D11</f>
        <v>45986</v>
      </c>
      <c r="E13" s="13">
        <f ca="1">D13+7</f>
        <v>45993</v>
      </c>
      <c r="F13" s="4">
        <f t="shared" ca="1" si="0"/>
        <v>8</v>
      </c>
      <c r="G13" s="25" t="s">
        <v>69</v>
      </c>
    </row>
    <row r="14" spans="2:11" ht="32.1" customHeight="1" thickBot="1" x14ac:dyDescent="0.3">
      <c r="B14" s="25" t="s">
        <v>54</v>
      </c>
      <c r="C14" s="12" t="s">
        <v>11</v>
      </c>
      <c r="D14" s="13">
        <f ca="1">E12</f>
        <v>45990</v>
      </c>
      <c r="E14" s="13">
        <f ca="1">D14+6</f>
        <v>45996</v>
      </c>
      <c r="F14" s="4">
        <f t="shared" ca="1" si="0"/>
        <v>7</v>
      </c>
      <c r="G14" s="25" t="s">
        <v>52</v>
      </c>
    </row>
    <row r="15" spans="2:11" ht="32.1" customHeight="1" thickBot="1" x14ac:dyDescent="0.3">
      <c r="B15" s="25" t="s">
        <v>55</v>
      </c>
      <c r="C15" s="12" t="s">
        <v>12</v>
      </c>
      <c r="D15" s="13">
        <f ca="1">E13</f>
        <v>45993</v>
      </c>
      <c r="E15" s="13">
        <f ca="1">D15+3</f>
        <v>45996</v>
      </c>
      <c r="F15" s="4">
        <f t="shared" ca="1" si="0"/>
        <v>4</v>
      </c>
      <c r="G15" s="25" t="s">
        <v>53</v>
      </c>
    </row>
    <row r="16" spans="2:11" ht="32.1" customHeight="1" thickBot="1" x14ac:dyDescent="0.3">
      <c r="B16" s="25" t="s">
        <v>56</v>
      </c>
      <c r="C16" s="12" t="s">
        <v>13</v>
      </c>
      <c r="D16" s="13">
        <f ca="1">E13</f>
        <v>45993</v>
      </c>
      <c r="E16" s="13">
        <f ca="1">D16+3</f>
        <v>45996</v>
      </c>
      <c r="F16" s="4">
        <f t="shared" ca="1" si="0"/>
        <v>4</v>
      </c>
      <c r="G16" s="25" t="s">
        <v>53</v>
      </c>
    </row>
    <row r="17" spans="2:7" ht="32.1" customHeight="1" thickBot="1" x14ac:dyDescent="0.3">
      <c r="B17" s="25" t="s">
        <v>57</v>
      </c>
      <c r="C17" s="12" t="s">
        <v>14</v>
      </c>
      <c r="D17" s="13">
        <f ca="1">D11</f>
        <v>45986</v>
      </c>
      <c r="E17" s="13">
        <f ca="1">D17+3</f>
        <v>45989</v>
      </c>
      <c r="F17" s="4">
        <f t="shared" ca="1" si="0"/>
        <v>4</v>
      </c>
      <c r="G17" s="25" t="s">
        <v>69</v>
      </c>
    </row>
    <row r="18" spans="2:7" ht="32.1" customHeight="1" thickBot="1" x14ac:dyDescent="0.3">
      <c r="B18" s="25" t="s">
        <v>41</v>
      </c>
      <c r="C18" s="12" t="s">
        <v>15</v>
      </c>
      <c r="D18" s="13">
        <f ca="1">E17</f>
        <v>45989</v>
      </c>
      <c r="E18" s="13">
        <f ca="1">D18+3</f>
        <v>45992</v>
      </c>
      <c r="F18" s="4">
        <f t="shared" ca="1" si="0"/>
        <v>4</v>
      </c>
      <c r="G18" s="25" t="s">
        <v>57</v>
      </c>
    </row>
    <row r="19" spans="2:7" ht="32.1" customHeight="1" thickBot="1" x14ac:dyDescent="0.3">
      <c r="B19" s="25" t="s">
        <v>43</v>
      </c>
      <c r="C19" s="12" t="s">
        <v>16</v>
      </c>
      <c r="D19" s="13">
        <f ca="1">E17</f>
        <v>45989</v>
      </c>
      <c r="E19" s="13">
        <f ca="1">D19+5</f>
        <v>45994</v>
      </c>
      <c r="F19" s="4">
        <f t="shared" ca="1" si="0"/>
        <v>6</v>
      </c>
      <c r="G19" s="25" t="s">
        <v>57</v>
      </c>
    </row>
    <row r="20" spans="2:7" ht="32.1" customHeight="1" thickBot="1" x14ac:dyDescent="0.3">
      <c r="B20" s="25" t="s">
        <v>70</v>
      </c>
      <c r="C20" s="15" t="s">
        <v>17</v>
      </c>
      <c r="D20" s="16">
        <f ca="1">MAX(E12:E19)</f>
        <v>45996</v>
      </c>
      <c r="E20" s="17"/>
      <c r="F20" s="4" t="str">
        <f t="shared" ca="1" si="0"/>
        <v/>
      </c>
      <c r="G20" s="25"/>
    </row>
    <row r="21" spans="2:7" ht="32.1" customHeight="1" thickBot="1" x14ac:dyDescent="0.3">
      <c r="B21" s="25" t="s">
        <v>58</v>
      </c>
      <c r="C21" s="18" t="s">
        <v>18</v>
      </c>
      <c r="D21" s="19">
        <f ca="1">D20</f>
        <v>45996</v>
      </c>
      <c r="E21" s="19">
        <f ca="1">D21+7</f>
        <v>46003</v>
      </c>
      <c r="F21" s="4">
        <f t="shared" ca="1" si="0"/>
        <v>8</v>
      </c>
      <c r="G21" s="25" t="s">
        <v>70</v>
      </c>
    </row>
    <row r="22" spans="2:7" ht="32.1" customHeight="1" thickBot="1" x14ac:dyDescent="0.3">
      <c r="B22" s="25" t="s">
        <v>59</v>
      </c>
      <c r="C22" s="18" t="s">
        <v>19</v>
      </c>
      <c r="D22" s="19">
        <f ca="1">D20</f>
        <v>45996</v>
      </c>
      <c r="E22" s="19">
        <f ca="1">D22+14</f>
        <v>46010</v>
      </c>
      <c r="F22" s="4">
        <f t="shared" ca="1" si="0"/>
        <v>15</v>
      </c>
      <c r="G22" s="25" t="s">
        <v>70</v>
      </c>
    </row>
    <row r="23" spans="2:7" ht="32.1" customHeight="1" thickBot="1" x14ac:dyDescent="0.3">
      <c r="B23" s="25" t="s">
        <v>48</v>
      </c>
      <c r="C23" s="18" t="s">
        <v>20</v>
      </c>
      <c r="D23" s="19">
        <f ca="1">D20</f>
        <v>45996</v>
      </c>
      <c r="E23" s="19">
        <f ca="1">D23+14</f>
        <v>46010</v>
      </c>
      <c r="F23" s="4">
        <f t="shared" ca="1" si="0"/>
        <v>15</v>
      </c>
      <c r="G23" s="25" t="s">
        <v>70</v>
      </c>
    </row>
    <row r="24" spans="2:7" ht="32.1" customHeight="1" thickBot="1" x14ac:dyDescent="0.3">
      <c r="B24" s="25" t="s">
        <v>40</v>
      </c>
      <c r="C24" s="18" t="s">
        <v>21</v>
      </c>
      <c r="D24" s="19">
        <f ca="1">E21</f>
        <v>46003</v>
      </c>
      <c r="E24" s="19">
        <f ca="1">D24+14</f>
        <v>46017</v>
      </c>
      <c r="F24" s="4">
        <f t="shared" ca="1" si="0"/>
        <v>15</v>
      </c>
      <c r="G24" s="25" t="s">
        <v>58</v>
      </c>
    </row>
    <row r="25" spans="2:7" ht="32.1" customHeight="1" thickBot="1" x14ac:dyDescent="0.3">
      <c r="B25" s="25" t="s">
        <v>46</v>
      </c>
      <c r="C25" s="18" t="s">
        <v>22</v>
      </c>
      <c r="D25" s="19">
        <f ca="1">E22</f>
        <v>46010</v>
      </c>
      <c r="E25" s="19">
        <f ca="1">D25+5</f>
        <v>46015</v>
      </c>
      <c r="F25" s="4">
        <f t="shared" ca="1" si="0"/>
        <v>6</v>
      </c>
      <c r="G25" s="25" t="s">
        <v>59</v>
      </c>
    </row>
    <row r="26" spans="2:7" ht="32.1" customHeight="1" thickBot="1" x14ac:dyDescent="0.3">
      <c r="B26" s="25" t="s">
        <v>44</v>
      </c>
      <c r="C26" s="18" t="s">
        <v>23</v>
      </c>
      <c r="D26" s="19">
        <f ca="1">E25</f>
        <v>46015</v>
      </c>
      <c r="E26" s="19">
        <f ca="1">D26+3</f>
        <v>46018</v>
      </c>
      <c r="F26" s="4">
        <f t="shared" ca="1" si="0"/>
        <v>4</v>
      </c>
      <c r="G26" s="25" t="s">
        <v>46</v>
      </c>
    </row>
    <row r="27" spans="2:7" ht="32.1" customHeight="1" thickBot="1" x14ac:dyDescent="0.3">
      <c r="B27" s="25" t="s">
        <v>60</v>
      </c>
      <c r="C27" s="18" t="s">
        <v>24</v>
      </c>
      <c r="D27" s="19">
        <f ca="1">E22</f>
        <v>46010</v>
      </c>
      <c r="E27" s="19">
        <f ca="1">D27+4</f>
        <v>46014</v>
      </c>
      <c r="F27" s="4">
        <f t="shared" ca="1" si="0"/>
        <v>5</v>
      </c>
      <c r="G27" s="25" t="s">
        <v>48</v>
      </c>
    </row>
    <row r="28" spans="2:7" ht="32.1" customHeight="1" thickBot="1" x14ac:dyDescent="0.3">
      <c r="B28" s="25" t="s">
        <v>71</v>
      </c>
      <c r="C28" s="20" t="s">
        <v>25</v>
      </c>
      <c r="D28" s="21">
        <f ca="1">MAX(E21:E27)</f>
        <v>46018</v>
      </c>
      <c r="E28" s="22"/>
      <c r="F28" s="4" t="str">
        <f t="shared" ca="1" si="0"/>
        <v/>
      </c>
      <c r="G28" s="25"/>
    </row>
    <row r="29" spans="2:7" ht="32.1" customHeight="1" thickBot="1" x14ac:dyDescent="0.3">
      <c r="B29" s="25" t="s">
        <v>61</v>
      </c>
      <c r="C29" s="23" t="s">
        <v>26</v>
      </c>
      <c r="D29" s="24">
        <f ca="1">D28</f>
        <v>46018</v>
      </c>
      <c r="E29" s="24">
        <f ca="1">D29+7</f>
        <v>46025</v>
      </c>
      <c r="F29" s="4">
        <f t="shared" ca="1" si="0"/>
        <v>8</v>
      </c>
      <c r="G29" s="25" t="s">
        <v>71</v>
      </c>
    </row>
    <row r="30" spans="2:7" ht="32.1" customHeight="1" thickBot="1" x14ac:dyDescent="0.3">
      <c r="B30" s="25" t="s">
        <v>62</v>
      </c>
      <c r="C30" s="23" t="s">
        <v>27</v>
      </c>
      <c r="D30" s="24">
        <f ca="1">D28</f>
        <v>46018</v>
      </c>
      <c r="E30" s="24">
        <f ca="1">D30+5</f>
        <v>46023</v>
      </c>
      <c r="F30" s="4">
        <f t="shared" ca="1" si="0"/>
        <v>6</v>
      </c>
      <c r="G30" s="25" t="s">
        <v>71</v>
      </c>
    </row>
    <row r="31" spans="2:7" ht="32.1" customHeight="1" thickBot="1" x14ac:dyDescent="0.3">
      <c r="B31" s="25" t="s">
        <v>63</v>
      </c>
      <c r="C31" s="23" t="s">
        <v>28</v>
      </c>
      <c r="D31" s="24">
        <f ca="1">D29</f>
        <v>46018</v>
      </c>
      <c r="E31" s="24">
        <f ca="1">E29</f>
        <v>46025</v>
      </c>
      <c r="F31" s="4">
        <f t="shared" ca="1" si="0"/>
        <v>8</v>
      </c>
      <c r="G31" s="25" t="s">
        <v>71</v>
      </c>
    </row>
    <row r="32" spans="2:7" ht="32.1" customHeight="1" thickBot="1" x14ac:dyDescent="0.3">
      <c r="B32" s="25" t="s">
        <v>64</v>
      </c>
      <c r="C32" s="23" t="s">
        <v>29</v>
      </c>
      <c r="D32" s="24">
        <f ca="1">D11</f>
        <v>45986</v>
      </c>
      <c r="E32" s="24">
        <f ca="1">D32+28</f>
        <v>46014</v>
      </c>
      <c r="F32" s="4">
        <f t="shared" ca="1" si="0"/>
        <v>29</v>
      </c>
      <c r="G32" s="25" t="s">
        <v>69</v>
      </c>
    </row>
    <row r="33" spans="2:7" ht="32.1" customHeight="1" thickBot="1" x14ac:dyDescent="0.3">
      <c r="B33" s="25" t="s">
        <v>65</v>
      </c>
      <c r="C33" s="23" t="s">
        <v>30</v>
      </c>
      <c r="D33" s="24">
        <f ca="1">D31</f>
        <v>46018</v>
      </c>
      <c r="E33" s="24">
        <f ca="1">E31</f>
        <v>46025</v>
      </c>
      <c r="F33" s="4">
        <f t="shared" ca="1" si="0"/>
        <v>8</v>
      </c>
      <c r="G33" s="25" t="s">
        <v>71</v>
      </c>
    </row>
    <row r="34" spans="2:7" ht="32.1" customHeight="1" thickBot="1" x14ac:dyDescent="0.3">
      <c r="B34" s="25" t="s">
        <v>66</v>
      </c>
      <c r="C34" s="23" t="s">
        <v>31</v>
      </c>
      <c r="D34" s="24">
        <f>DATE(2026,1,6)-14</f>
        <v>46014</v>
      </c>
      <c r="E34" s="24">
        <f>DATE(2026,1,5)</f>
        <v>46027</v>
      </c>
      <c r="F34" s="4">
        <f t="shared" si="0"/>
        <v>14</v>
      </c>
      <c r="G34" s="25" t="s">
        <v>70</v>
      </c>
    </row>
    <row r="35" spans="2:7" ht="32.1" customHeight="1" thickBot="1" x14ac:dyDescent="0.3">
      <c r="B35" s="25" t="s">
        <v>67</v>
      </c>
      <c r="C35" s="23" t="s">
        <v>32</v>
      </c>
      <c r="D35" s="24">
        <f>DATE(2026,1,6)</f>
        <v>46028</v>
      </c>
      <c r="E35" s="24">
        <f>D35</f>
        <v>46028</v>
      </c>
      <c r="F35" s="4">
        <f t="shared" si="0"/>
        <v>1</v>
      </c>
      <c r="G35" s="25" t="s">
        <v>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Project_Start</vt:lpstr>
      <vt:lpstr>Sheet1!task_end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Pietras</dc:creator>
  <cp:lastModifiedBy>Aleksander Pietras</cp:lastModifiedBy>
  <dcterms:created xsi:type="dcterms:W3CDTF">2015-06-05T18:17:20Z</dcterms:created>
  <dcterms:modified xsi:type="dcterms:W3CDTF">2025-11-22T17:09:59Z</dcterms:modified>
</cp:coreProperties>
</file>